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>
    <definedName localSheetId="0" name="Incremento_de_desplazamiento">'V1'!$C$7</definedName>
    <definedName localSheetId="0" name="Inicio_del_proyecto">'V1'!$C$6</definedName>
  </definedNames>
  <calcPr/>
</workbook>
</file>

<file path=xl/sharedStrings.xml><?xml version="1.0" encoding="utf-8"?>
<sst xmlns="http://schemas.openxmlformats.org/spreadsheetml/2006/main" count="17" uniqueCount="14">
  <si>
    <t>TravelWrap</t>
  </si>
  <si>
    <t>Leyenda:</t>
  </si>
  <si>
    <t>Planificado</t>
  </si>
  <si>
    <t>Fecha de inicio del proyecto:</t>
  </si>
  <si>
    <t>Incremento de desplazamiento:</t>
  </si>
  <si>
    <t xml:space="preserve">Descripción </t>
  </si>
  <si>
    <t>Categoría</t>
  </si>
  <si>
    <t>Inicio</t>
  </si>
  <si>
    <t>Días</t>
  </si>
  <si>
    <t>Sprint 1</t>
  </si>
  <si>
    <t>Hito</t>
  </si>
  <si>
    <t>Sprint 2</t>
  </si>
  <si>
    <t>Sprint 3</t>
  </si>
  <si>
    <t>Sprint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</si>
</sst>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"/>
    <numFmt numFmtId="166" formatCode="0\ ;\-0\ "/>
  </numFmts>
  <fonts count="17">
    <font>
      <sz val="11.0"/>
      <color rgb="FF000000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  <font>
      <b/>
      <sz val="26.0"/>
      <color rgb="FF000000"/>
      <name val="Calibri"/>
    </font>
    <font/>
    <font>
      <sz val="14.0"/>
      <color rgb="FF000000"/>
      <name val="Calibri"/>
    </font>
    <font>
      <b/>
      <sz val="22.0"/>
      <color rgb="FF000000"/>
      <name val="Calibri"/>
    </font>
    <font>
      <b/>
      <sz val="20.0"/>
      <color rgb="FF000000"/>
      <name val="Calibri"/>
    </font>
    <font>
      <sz val="15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sz val="16.0"/>
      <color rgb="FF000000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  <fill>
      <patternFill patternType="solid">
        <fgColor rgb="FFBFBFBF"/>
        <bgColor rgb="FFBFBFBF"/>
      </patternFill>
    </fill>
    <fill>
      <patternFill patternType="solid">
        <fgColor rgb="FF404040"/>
        <bgColor rgb="FF404040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hair">
        <color rgb="FF808080"/>
      </bottom>
    </border>
    <border>
      <right style="thin">
        <color rgb="FFFFFF00"/>
      </right>
      <bottom style="hair">
        <color rgb="FF808080"/>
      </bottom>
    </border>
    <border>
      <right style="hair">
        <color rgb="FFA6A6A6"/>
      </right>
    </border>
    <border>
      <left style="hair">
        <color rgb="FFA6A6A6"/>
      </left>
      <right/>
      <top style="hair">
        <color rgb="FF808080"/>
      </top>
      <bottom/>
    </border>
    <border>
      <left/>
      <right/>
      <top style="hair">
        <color rgb="FF808080"/>
      </top>
      <bottom/>
    </border>
    <border>
      <left/>
      <top style="hair">
        <color rgb="FF808080"/>
      </top>
      <bottom/>
    </border>
    <border>
      <right/>
      <top style="hair">
        <color rgb="FF808080"/>
      </top>
      <bottom/>
    </border>
    <border>
      <left/>
      <right style="hair">
        <color rgb="FFA6A6A6"/>
      </right>
      <top style="hair">
        <color rgb="FF808080"/>
      </top>
      <bottom/>
    </border>
    <border>
      <left/>
      <right style="thin">
        <color rgb="FFFFFF00"/>
      </right>
      <top style="hair">
        <color rgb="FF808080"/>
      </top>
      <bottom/>
    </border>
    <border>
      <left style="hair">
        <color rgb="FFA6A6A6"/>
      </left>
      <right/>
      <top/>
      <bottom/>
    </border>
    <border>
      <left style="hair">
        <color rgb="FFA6A6A6"/>
      </left>
      <right/>
      <top/>
      <bottom style="hair">
        <color rgb="FFA6A6A6"/>
      </bottom>
    </border>
    <border>
      <left/>
      <right style="hair">
        <color rgb="FFA6A6A6"/>
      </right>
      <top/>
      <bottom/>
    </border>
    <border>
      <left/>
      <right style="thin">
        <color rgb="FFFFFF00"/>
      </right>
      <top/>
      <bottom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</border>
    <border>
      <left style="hair">
        <color rgb="FFA6A6A6"/>
      </left>
      <top style="hair">
        <color rgb="FFA6A6A6"/>
      </top>
      <bottom style="hair">
        <color rgb="FFA6A6A6"/>
      </bottom>
    </border>
    <border>
      <right style="hair">
        <color rgb="FFA6A6A6"/>
      </right>
      <top style="hair">
        <color rgb="FFA6A6A6"/>
      </top>
      <bottom style="hair">
        <color rgb="FFA6A6A6"/>
      </bottom>
    </border>
    <border>
      <left style="hair">
        <color rgb="FFA6A6A6"/>
      </left>
      <right style="thin">
        <color rgb="FFFFFF00"/>
      </right>
      <top style="hair">
        <color rgb="FFA6A6A6"/>
      </top>
      <bottom style="hair">
        <color rgb="FFA6A6A6"/>
      </bottom>
    </border>
    <border>
      <left style="hair">
        <color rgb="FFD9D9D9"/>
      </left>
      <right style="hair">
        <color rgb="FFD9D9D9"/>
      </right>
    </border>
    <border>
      <left style="hair">
        <color rgb="FFD9D9D9"/>
      </left>
    </border>
    <border>
      <right style="hair">
        <color rgb="FFD9D9D9"/>
      </right>
    </border>
    <border>
      <left style="hair">
        <color rgb="FFD9D9D9"/>
      </left>
      <right style="thin">
        <color rgb="FFFFFF00"/>
      </right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FFFF00"/>
      </right>
      <top style="hair">
        <color rgb="FFD9D9D9"/>
      </top>
      <bottom style="hair">
        <color rgb="FFD9D9D9"/>
      </bottom>
    </border>
    <border>
      <right style="thin">
        <color rgb="FFFFFF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4" fillId="2" fontId="2" numFmtId="0" xfId="0" applyAlignment="1" applyBorder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1" fillId="3" fontId="10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center" wrapText="0"/>
    </xf>
    <xf borderId="5" fillId="0" fontId="11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7" fillId="0" fontId="2" numFmtId="0" xfId="0" applyAlignment="1" applyBorder="1" applyFont="1">
      <alignment shrinkToFit="0" vertical="bottom" wrapText="0"/>
    </xf>
    <xf borderId="8" fillId="4" fontId="12" numFmtId="165" xfId="0" applyAlignment="1" applyBorder="1" applyFill="1" applyFont="1" applyNumberFormat="1">
      <alignment horizontal="center" shrinkToFit="0" vertical="center" wrapText="0"/>
    </xf>
    <xf borderId="9" fillId="4" fontId="12" numFmtId="165" xfId="0" applyAlignment="1" applyBorder="1" applyFill="1" applyFont="1" applyNumberFormat="1">
      <alignment horizontal="center" shrinkToFit="0" vertical="center" wrapText="0"/>
    </xf>
    <xf borderId="10" fillId="4" fontId="12" numFmtId="165" xfId="0" applyAlignment="1" applyBorder="1" applyFill="1" applyFont="1" applyNumberFormat="1">
      <alignment horizontal="center" shrinkToFit="0" vertical="center" wrapText="0"/>
    </xf>
    <xf borderId="0" fillId="4" fontId="12" numFmtId="165" xfId="0" applyAlignment="1" applyFill="1" applyFont="1" applyNumberFormat="1">
      <alignment horizontal="center" shrinkToFit="0" vertical="center" wrapText="0"/>
    </xf>
    <xf borderId="11" fillId="4" fontId="12" numFmtId="165" xfId="0" applyAlignment="1" applyBorder="1" applyFill="1" applyFont="1" applyNumberFormat="1">
      <alignment horizontal="center" shrinkToFit="0" vertical="center" wrapText="0"/>
    </xf>
    <xf borderId="12" fillId="4" fontId="12" numFmtId="165" xfId="0" applyAlignment="1" applyBorder="1" applyFill="1" applyFont="1" applyNumberFormat="1">
      <alignment horizontal="center" shrinkToFit="0" vertical="center" wrapText="0"/>
    </xf>
    <xf borderId="13" fillId="4" fontId="12" numFmtId="165" xfId="0" applyAlignment="1" applyBorder="1" applyFill="1" applyFont="1" applyNumberFormat="1">
      <alignment horizontal="center" shrinkToFit="0" vertical="center" wrapText="0"/>
    </xf>
    <xf borderId="14" fillId="4" fontId="12" numFmtId="165" xfId="0" applyAlignment="1" applyBorder="1" applyFill="1" applyFont="1" applyNumberFormat="1">
      <alignment horizontal="center" shrinkToFit="0" vertical="center" wrapText="0"/>
    </xf>
    <xf borderId="4" fillId="4" fontId="12" numFmtId="165" xfId="0" applyAlignment="1" applyBorder="1" applyFill="1" applyFont="1" applyNumberFormat="1">
      <alignment horizontal="center" shrinkToFit="0" vertical="center" wrapText="0"/>
    </xf>
    <xf borderId="1" fillId="4" fontId="12" numFmtId="165" xfId="0" applyAlignment="1" applyBorder="1" applyFill="1" applyFont="1" applyNumberFormat="1">
      <alignment horizontal="center" shrinkToFit="0" vertical="center" wrapText="0"/>
    </xf>
    <xf borderId="3" fillId="4" fontId="12" numFmtId="165" xfId="0" applyAlignment="1" applyBorder="1" applyFill="1" applyFont="1" applyNumberFormat="1">
      <alignment horizontal="center" shrinkToFit="0" vertical="center" wrapText="0"/>
    </xf>
    <xf borderId="15" fillId="4" fontId="12" numFmtId="165" xfId="0" applyAlignment="1" applyBorder="1" applyFill="1" applyFont="1" applyNumberFormat="1">
      <alignment horizontal="center" shrinkToFit="0" vertical="center" wrapText="0"/>
    </xf>
    <xf borderId="16" fillId="4" fontId="12" numFmtId="165" xfId="0" applyAlignment="1" applyBorder="1" applyFill="1" applyFont="1" applyNumberFormat="1">
      <alignment horizontal="center" shrinkToFit="0" vertical="center" wrapText="0"/>
    </xf>
    <xf borderId="17" fillId="4" fontId="12" numFmtId="165" xfId="0" applyAlignment="1" applyBorder="1" applyFill="1" applyFont="1" applyNumberFormat="1">
      <alignment horizontal="center" shrinkToFit="0" vertical="center" wrapText="0"/>
    </xf>
    <xf borderId="4" fillId="5" fontId="13" numFmtId="0" xfId="0" applyAlignment="1" applyBorder="1" applyFill="1" applyFont="1">
      <alignment horizontal="left" readingOrder="0" shrinkToFit="0" vertical="center" wrapText="0"/>
    </xf>
    <xf borderId="4" fillId="5" fontId="13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18" fillId="4" fontId="12" numFmtId="0" xfId="0" applyAlignment="1" applyBorder="1" applyFill="1" applyFont="1">
      <alignment horizontal="center" shrinkToFit="1" vertical="center" wrapText="0"/>
    </xf>
    <xf borderId="19" fillId="4" fontId="12" numFmtId="0" xfId="0" applyAlignment="1" applyBorder="1" applyFill="1" applyFont="1">
      <alignment horizontal="center" shrinkToFit="1" vertical="center" wrapText="0"/>
    </xf>
    <xf borderId="0" fillId="4" fontId="12" numFmtId="0" xfId="0" applyAlignment="1" applyFill="1" applyFont="1">
      <alignment horizontal="center" shrinkToFit="1" vertical="center" wrapText="0"/>
    </xf>
    <xf borderId="20" fillId="4" fontId="12" numFmtId="0" xfId="0" applyAlignment="1" applyBorder="1" applyFill="1" applyFont="1">
      <alignment horizontal="center" shrinkToFit="1" vertical="center" wrapText="0"/>
    </xf>
    <xf borderId="21" fillId="4" fontId="12" numFmtId="0" xfId="0" applyAlignment="1" applyBorder="1" applyFill="1" applyFont="1">
      <alignment horizontal="center" shrinkToFit="1" vertical="center" wrapText="0"/>
    </xf>
    <xf borderId="0" fillId="0" fontId="2" numFmtId="0" xfId="0" applyAlignment="1" applyFont="1">
      <alignment horizontal="left" shrinkToFit="0" vertical="bottom" wrapText="1"/>
    </xf>
    <xf borderId="0" fillId="0" fontId="2" numFmtId="9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horizontal="center" shrinkToFit="0" vertical="center" wrapText="0"/>
    </xf>
    <xf borderId="22" fillId="0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shrinkToFit="0" vertical="center" wrapText="0"/>
    </xf>
    <xf borderId="24" fillId="0" fontId="2" numFmtId="0" xfId="0" applyAlignment="1" applyBorder="1" applyFont="1">
      <alignment shrinkToFit="0" vertical="center" wrapText="0"/>
    </xf>
    <xf borderId="25" fillId="0" fontId="2" numFmtId="0" xfId="0" applyAlignment="1" applyBorder="1" applyFont="1">
      <alignment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26" fillId="3" fontId="2" numFmtId="0" xfId="0" applyAlignment="1" applyBorder="1" applyFill="1" applyFont="1">
      <alignment horizontal="center" shrinkToFit="0" vertical="center" wrapText="0"/>
    </xf>
    <xf borderId="27" fillId="3" fontId="2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28" fillId="3" fontId="2" numFmtId="0" xfId="0" applyAlignment="1" applyBorder="1" applyFill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horizontal="center" shrinkToFit="0" vertical="center" wrapText="0"/>
    </xf>
    <xf borderId="27" fillId="0" fontId="2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7">
    <dxf>
      <font>
        <color rgb="FF000000"/>
        <name val="Calibri"/>
      </font>
      <numFmt numFmtId="0" formatCode=""/>
      <fill>
        <patternFill patternType="solid">
          <fgColor rgb="FFF2F2F2"/>
          <bgColor rgb="FFF2F2F2"/>
        </patternFill>
      </fill>
      <border>
        <bottom style="hair">
          <color rgb="FF000000"/>
        </bottom>
      </border>
    </dxf>
    <dxf>
      <font>
        <color rgb="FF000000"/>
        <name val="Calibri"/>
      </font>
      <numFmt numFmtId="0" formatCode=""/>
      <fill>
        <patternFill patternType="solid">
          <fgColor rgb="FFD9D9D9"/>
          <bgColor rgb="FFD9D9D9"/>
        </patternFill>
      </fill>
      <border>
        <bottom style="hair">
          <color rgb="FF000000"/>
        </bottom>
      </border>
    </dxf>
    <dxf>
      <font>
        <color rgb="FF000000"/>
        <name val="Calibri"/>
      </font>
      <numFmt numFmtId="0" formatCode=""/>
      <fill>
        <patternFill patternType="solid">
          <fgColor rgb="FF00B0F0"/>
          <bgColor rgb="FF00B0F0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852C98"/>
          <bgColor rgb="FF852C98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20A472"/>
          <bgColor rgb="FF20A472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4868E5"/>
          <bgColor rgb="FF4868E5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E6E6E6"/>
          <bgColor rgb="FFE6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5.86"/>
    <col customWidth="1" min="3" max="3" width="18.57"/>
    <col customWidth="1" min="4" max="4" width="11.29"/>
    <col customWidth="1" min="5" max="5" width="9.86"/>
    <col customWidth="1" min="6" max="6" width="2.57"/>
    <col customWidth="1" min="7" max="63" width="5.43"/>
    <col customWidth="1" min="64" max="64" width="5.29"/>
    <col customWidth="1" min="65" max="65" width="6.14"/>
    <col customWidth="1" min="66" max="126" width="5.43"/>
  </cols>
  <sheetData>
    <row r="1" ht="24.75" customHeight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ht="41.25" customHeight="1">
      <c r="A2" s="4"/>
      <c r="B2" s="5" t="s">
        <v>0</v>
      </c>
      <c r="C2" s="6"/>
      <c r="D2" s="6"/>
      <c r="E2" s="6"/>
      <c r="F2" s="7"/>
      <c r="G2" s="8"/>
      <c r="H2" s="6"/>
      <c r="I2" s="6"/>
      <c r="J2" s="6"/>
      <c r="K2" s="6"/>
      <c r="L2" s="7"/>
      <c r="M2" s="9"/>
      <c r="N2" s="6"/>
      <c r="O2" s="6"/>
      <c r="P2" s="6"/>
      <c r="Q2" s="6"/>
      <c r="R2" s="7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</row>
    <row r="3" ht="31.5" customHeight="1">
      <c r="A3" s="4"/>
      <c r="B3" s="12"/>
      <c r="C3" s="13"/>
      <c r="D3" s="14"/>
      <c r="E3" s="15"/>
      <c r="F3" s="15"/>
      <c r="G3" s="16"/>
      <c r="H3" s="15"/>
      <c r="I3" s="15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7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</row>
    <row r="4" ht="30.0" customHeight="1">
      <c r="A4" s="4"/>
      <c r="B4" s="18"/>
      <c r="C4" s="19"/>
      <c r="D4" s="3"/>
      <c r="E4" s="20" t="s">
        <v>1</v>
      </c>
      <c r="F4" s="2"/>
      <c r="G4" s="21" t="s">
        <v>2</v>
      </c>
      <c r="H4" s="6"/>
      <c r="I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E4" s="2"/>
      <c r="AJ4" s="2"/>
      <c r="AK4" s="2"/>
      <c r="AL4" s="2"/>
      <c r="AM4" s="2"/>
      <c r="AN4" s="2"/>
      <c r="AO4" s="2"/>
      <c r="AP4" s="2"/>
      <c r="AQ4" s="2"/>
      <c r="AR4" s="17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</row>
    <row r="5" ht="30.0" customHeight="1">
      <c r="A5" s="4"/>
      <c r="B5" s="18"/>
      <c r="C5" s="2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</row>
    <row r="6" ht="30.0" customHeight="1">
      <c r="A6" s="4"/>
      <c r="B6" s="22" t="s">
        <v>3</v>
      </c>
      <c r="C6" s="23">
        <v>46296.0</v>
      </c>
      <c r="D6" s="3"/>
      <c r="E6" s="2"/>
      <c r="F6" s="2"/>
      <c r="G6" s="24" t="str">
        <f>TEXT(G7,"mmmm")</f>
        <v>octubre</v>
      </c>
      <c r="H6" s="24"/>
      <c r="I6" s="24"/>
      <c r="J6" s="24"/>
      <c r="K6" s="25"/>
      <c r="L6" s="24"/>
      <c r="M6" s="24"/>
      <c r="N6" s="24" t="str">
        <f>IF(TEXT(N7,"mmmm")=G6,"",TEXT(N7,"mmmm"))</f>
        <v/>
      </c>
      <c r="O6" s="24"/>
      <c r="P6" s="25"/>
      <c r="Q6" s="25"/>
      <c r="R6" s="25"/>
      <c r="S6" s="25"/>
      <c r="T6" s="25"/>
      <c r="U6" s="25" t="str">
        <f>IF(OR(TEXT(U7,"mmmm")=N6,TEXT(U7,"mmmm")=G6),"",TEXT(U7,"mmmm"))</f>
        <v/>
      </c>
      <c r="V6" s="25"/>
      <c r="W6" s="25"/>
      <c r="X6" s="25"/>
      <c r="Y6" s="25"/>
      <c r="Z6" s="25"/>
      <c r="AA6" s="25"/>
      <c r="AB6" s="25" t="str">
        <f>IF(OR(TEXT(AB7,"mmmm")=U6,TEXT(AB7,"mmmm")=N6,TEXT(AB7,"mmmm")=G6),"",TEXT(AB7,"mmmm"))</f>
        <v/>
      </c>
      <c r="AC6" s="25"/>
      <c r="AD6" s="25"/>
      <c r="AE6" s="25"/>
      <c r="AF6" s="25"/>
      <c r="AG6" s="25"/>
      <c r="AH6" s="25"/>
      <c r="AI6" s="25" t="str">
        <f>IF(OR(TEXT(AI7,"mmmm")=AB6,TEXT(AI7,"mmmm")=U6,TEXT(AI7,"mmmm")=N6,TEXT(AI7,"mmmm")=G6),"",TEXT(AI7,"mmmm"))</f>
        <v/>
      </c>
      <c r="AJ6" s="25"/>
      <c r="AK6" s="25"/>
      <c r="AL6" s="25"/>
      <c r="AM6" s="25"/>
      <c r="AN6" s="25"/>
      <c r="AO6" s="25"/>
      <c r="AP6" s="25" t="str">
        <f>IF(OR(TEXT(AP7,"mmmm")=AI6,TEXT(AP7,"mmmm")=AB6,TEXT(AP7,"mmmm")=U6,TEXT(AP7,"mmmm")=N6),"",TEXT(AP7,"mmmm"))</f>
        <v>noviembre</v>
      </c>
      <c r="AQ6" s="25"/>
      <c r="AR6" s="25"/>
      <c r="AS6" s="25"/>
      <c r="AT6" s="25"/>
      <c r="AU6" s="25"/>
      <c r="AV6" s="25"/>
      <c r="AW6" s="25" t="str">
        <f>IF(OR(TEXT(AW7,"mmmm")=AP6,TEXT(AW7,"mmmm")=AI6,TEXT(AW7,"mmmm")=AB6,TEXT(AW7,"mmmm")=U6),"",TEXT(AW7,"mmmm"))</f>
        <v/>
      </c>
      <c r="AX6" s="25"/>
      <c r="AY6" s="25"/>
      <c r="AZ6" s="26"/>
      <c r="BA6" s="27"/>
      <c r="BB6" s="27"/>
      <c r="BC6" s="27"/>
      <c r="BD6" s="27" t="str">
        <f>IF(OR(TEXT(BD7,"mmmm")=AW6,TEXT(BD7,"mmmm")=AP6,TEXT(BD7,"mmmm")=AI6,TEXT(BD7,"mmmm")=AB6),"",TEXT(BD7,"mmmm"))</f>
        <v/>
      </c>
      <c r="BE6" s="27"/>
      <c r="BF6" s="27"/>
      <c r="BG6" s="27"/>
      <c r="BH6" s="27"/>
      <c r="BI6" s="27"/>
      <c r="BJ6" s="27"/>
      <c r="BK6" s="27"/>
      <c r="BL6" s="27"/>
      <c r="BM6" s="27"/>
      <c r="BN6" s="28"/>
      <c r="BO6" s="25"/>
      <c r="BP6" s="25"/>
      <c r="BQ6" s="25"/>
      <c r="BR6" s="25"/>
      <c r="BS6" s="25"/>
      <c r="BT6" s="25" t="str">
        <f>IF(OR(TEXT(BT7,"mmmm")=BM6,TEXT(BT7,"mmmm")=BF6,TEXT(BT7,"mmmm")=AY6,TEXT(BT7,"mmmm")=AR6),"",TEXT(BT7,"mmmm"))</f>
        <v>diciembre</v>
      </c>
      <c r="BU6" s="25"/>
      <c r="BV6" s="25"/>
      <c r="BW6" s="25"/>
      <c r="BX6" s="25"/>
      <c r="BY6" s="25"/>
      <c r="BZ6" s="25"/>
      <c r="CA6" s="25" t="str">
        <f>IF(OR(TEXT(CA7,"mmmm")=BT6,TEXT(CA7,"mmmm")=BM6,TEXT(CA7,"mmmm")=BF6,TEXT(CA7,"mmmm")=AY6),"",TEXT(CA7,"mmmm"))</f>
        <v/>
      </c>
      <c r="CB6" s="25"/>
      <c r="CC6" s="25"/>
      <c r="CD6" s="26"/>
      <c r="CE6" s="27"/>
      <c r="CF6" s="27"/>
      <c r="CG6" s="27"/>
      <c r="CH6" s="27" t="str">
        <f>IF(OR(TEXT(CH7,"mmmm")=CA6,TEXT(CH7,"mmmm")=BT6,TEXT(CH7,"mmmm")=BM6,TEXT(CH7,"mmmm")=BF6),"",TEXT(CH7,"mmmm"))</f>
        <v/>
      </c>
      <c r="CI6" s="27"/>
      <c r="CJ6" s="27"/>
      <c r="CK6" s="27"/>
      <c r="CL6" s="27"/>
      <c r="CM6" s="27"/>
      <c r="CN6" s="27"/>
      <c r="CO6" s="27"/>
      <c r="CP6" s="27"/>
      <c r="CQ6" s="27"/>
      <c r="CR6" s="28"/>
      <c r="CS6" s="25"/>
      <c r="CT6" s="25"/>
      <c r="CU6" s="25"/>
      <c r="CV6" s="25"/>
      <c r="CW6" s="25"/>
      <c r="CX6" s="25" t="str">
        <f>IF(OR(TEXT(CX7,"mmmm")=CQ6,TEXT(CX7,"mmmm")=CJ6,TEXT(CX7,"mmmm")=CC6,TEXT(CX7,"mmmm")=BV6),"",TEXT(CX7,"mmmm"))</f>
        <v>enero</v>
      </c>
      <c r="CY6" s="25"/>
      <c r="CZ6" s="25"/>
      <c r="DA6" s="25"/>
      <c r="DB6" s="25"/>
      <c r="DC6" s="25"/>
      <c r="DD6" s="25"/>
      <c r="DE6" s="25" t="str">
        <f>IF(OR(TEXT(DE7,"mmmm")=CX6,TEXT(DE7,"mmmm")=CQ6,TEXT(DE7,"mmmm")=CJ6,TEXT(DE7,"mmmm")=CC6),"",TEXT(DE7,"mmmm"))</f>
        <v/>
      </c>
      <c r="DF6" s="25"/>
      <c r="DG6" s="25"/>
      <c r="DH6" s="26"/>
      <c r="DI6" s="27"/>
      <c r="DJ6" s="27"/>
      <c r="DK6" s="27"/>
      <c r="DL6" s="27" t="str">
        <f>IF(OR(TEXT(DL7,"mmmm")=DE6,TEXT(DL7,"mmmm")=CX6,TEXT(DL7,"mmmm")=CQ6,TEXT(DL7,"mmmm")=CJ6),"",TEXT(DL7,"mmmm"))</f>
        <v/>
      </c>
      <c r="DM6" s="27"/>
      <c r="DN6" s="27"/>
      <c r="DO6" s="27"/>
      <c r="DP6" s="27"/>
      <c r="DQ6" s="29"/>
      <c r="DR6" s="29"/>
      <c r="DS6" s="29"/>
      <c r="DT6" s="29"/>
      <c r="DU6" s="29"/>
      <c r="DV6" s="30"/>
    </row>
    <row r="7" ht="30.0" customHeight="1">
      <c r="A7" s="4"/>
      <c r="B7" s="22" t="s">
        <v>4</v>
      </c>
      <c r="C7" s="31">
        <v>1.0</v>
      </c>
      <c r="D7" s="2"/>
      <c r="E7" s="2"/>
      <c r="F7" s="32"/>
      <c r="G7" s="33">
        <f>IFERROR('V1'!Inicio_del_proyecto+'V1'!Incremento_de_desplazamiento,TODAY())</f>
        <v>46297</v>
      </c>
      <c r="H7" s="34">
        <f t="shared" ref="H7:DV7" si="1">G7+1</f>
        <v>46298</v>
      </c>
      <c r="I7" s="34">
        <f t="shared" si="1"/>
        <v>46299</v>
      </c>
      <c r="J7" s="35">
        <f t="shared" si="1"/>
        <v>46300</v>
      </c>
      <c r="K7" s="36">
        <f t="shared" si="1"/>
        <v>46301</v>
      </c>
      <c r="L7" s="37">
        <f t="shared" si="1"/>
        <v>46302</v>
      </c>
      <c r="M7" s="38">
        <f t="shared" si="1"/>
        <v>46303</v>
      </c>
      <c r="N7" s="34">
        <f t="shared" si="1"/>
        <v>46304</v>
      </c>
      <c r="O7" s="35">
        <f t="shared" si="1"/>
        <v>46305</v>
      </c>
      <c r="P7" s="36">
        <f t="shared" si="1"/>
        <v>46306</v>
      </c>
      <c r="Q7" s="36">
        <f t="shared" si="1"/>
        <v>46307</v>
      </c>
      <c r="R7" s="36">
        <f t="shared" si="1"/>
        <v>46308</v>
      </c>
      <c r="S7" s="36">
        <f t="shared" si="1"/>
        <v>46309</v>
      </c>
      <c r="T7" s="36">
        <f t="shared" si="1"/>
        <v>46310</v>
      </c>
      <c r="U7" s="36">
        <f t="shared" si="1"/>
        <v>46311</v>
      </c>
      <c r="V7" s="36">
        <f t="shared" si="1"/>
        <v>46312</v>
      </c>
      <c r="W7" s="36">
        <f t="shared" si="1"/>
        <v>46313</v>
      </c>
      <c r="X7" s="36">
        <f t="shared" si="1"/>
        <v>46314</v>
      </c>
      <c r="Y7" s="36">
        <f t="shared" si="1"/>
        <v>46315</v>
      </c>
      <c r="Z7" s="36">
        <f t="shared" si="1"/>
        <v>46316</v>
      </c>
      <c r="AA7" s="36">
        <f t="shared" si="1"/>
        <v>46317</v>
      </c>
      <c r="AB7" s="36">
        <f t="shared" si="1"/>
        <v>46318</v>
      </c>
      <c r="AC7" s="36">
        <f t="shared" si="1"/>
        <v>46319</v>
      </c>
      <c r="AD7" s="36">
        <f t="shared" si="1"/>
        <v>46320</v>
      </c>
      <c r="AE7" s="36">
        <f t="shared" si="1"/>
        <v>46321</v>
      </c>
      <c r="AF7" s="36">
        <f t="shared" si="1"/>
        <v>46322</v>
      </c>
      <c r="AG7" s="36">
        <f t="shared" si="1"/>
        <v>46323</v>
      </c>
      <c r="AH7" s="36">
        <f t="shared" si="1"/>
        <v>46324</v>
      </c>
      <c r="AI7" s="36">
        <f t="shared" si="1"/>
        <v>46325</v>
      </c>
      <c r="AJ7" s="36">
        <f t="shared" si="1"/>
        <v>46326</v>
      </c>
      <c r="AK7" s="36">
        <f t="shared" si="1"/>
        <v>46327</v>
      </c>
      <c r="AL7" s="36">
        <f t="shared" si="1"/>
        <v>46328</v>
      </c>
      <c r="AM7" s="36">
        <f t="shared" si="1"/>
        <v>46329</v>
      </c>
      <c r="AN7" s="36">
        <f t="shared" si="1"/>
        <v>46330</v>
      </c>
      <c r="AO7" s="36">
        <f t="shared" si="1"/>
        <v>46331</v>
      </c>
      <c r="AP7" s="36">
        <f t="shared" si="1"/>
        <v>46332</v>
      </c>
      <c r="AQ7" s="36">
        <f t="shared" si="1"/>
        <v>46333</v>
      </c>
      <c r="AR7" s="36">
        <f t="shared" si="1"/>
        <v>46334</v>
      </c>
      <c r="AS7" s="36">
        <f t="shared" si="1"/>
        <v>46335</v>
      </c>
      <c r="AT7" s="36">
        <f t="shared" si="1"/>
        <v>46336</v>
      </c>
      <c r="AU7" s="36">
        <f t="shared" si="1"/>
        <v>46337</v>
      </c>
      <c r="AV7" s="36">
        <f t="shared" si="1"/>
        <v>46338</v>
      </c>
      <c r="AW7" s="36">
        <f t="shared" si="1"/>
        <v>46339</v>
      </c>
      <c r="AX7" s="36">
        <f t="shared" si="1"/>
        <v>46340</v>
      </c>
      <c r="AY7" s="36">
        <f t="shared" si="1"/>
        <v>46341</v>
      </c>
      <c r="AZ7" s="36">
        <f t="shared" si="1"/>
        <v>46342</v>
      </c>
      <c r="BA7" s="36">
        <f t="shared" si="1"/>
        <v>46343</v>
      </c>
      <c r="BB7" s="36">
        <f t="shared" si="1"/>
        <v>46344</v>
      </c>
      <c r="BC7" s="36">
        <f t="shared" si="1"/>
        <v>46345</v>
      </c>
      <c r="BD7" s="36">
        <f t="shared" si="1"/>
        <v>46346</v>
      </c>
      <c r="BE7" s="36">
        <f t="shared" si="1"/>
        <v>46347</v>
      </c>
      <c r="BF7" s="36">
        <f t="shared" si="1"/>
        <v>46348</v>
      </c>
      <c r="BG7" s="36">
        <f t="shared" si="1"/>
        <v>46349</v>
      </c>
      <c r="BH7" s="36">
        <f t="shared" si="1"/>
        <v>46350</v>
      </c>
      <c r="BI7" s="36">
        <f t="shared" si="1"/>
        <v>46351</v>
      </c>
      <c r="BJ7" s="36">
        <f t="shared" si="1"/>
        <v>46352</v>
      </c>
      <c r="BK7" s="36">
        <f t="shared" si="1"/>
        <v>46353</v>
      </c>
      <c r="BL7" s="36">
        <f t="shared" si="1"/>
        <v>46354</v>
      </c>
      <c r="BM7" s="36">
        <f t="shared" si="1"/>
        <v>46355</v>
      </c>
      <c r="BN7" s="36">
        <f t="shared" si="1"/>
        <v>46356</v>
      </c>
      <c r="BO7" s="36">
        <f t="shared" si="1"/>
        <v>46357</v>
      </c>
      <c r="BP7" s="36">
        <f t="shared" si="1"/>
        <v>46358</v>
      </c>
      <c r="BQ7" s="36">
        <f t="shared" si="1"/>
        <v>46359</v>
      </c>
      <c r="BR7" s="36">
        <f t="shared" si="1"/>
        <v>46360</v>
      </c>
      <c r="BS7" s="36">
        <f t="shared" si="1"/>
        <v>46361</v>
      </c>
      <c r="BT7" s="36">
        <f t="shared" si="1"/>
        <v>46362</v>
      </c>
      <c r="BU7" s="36">
        <f t="shared" si="1"/>
        <v>46363</v>
      </c>
      <c r="BV7" s="36">
        <f t="shared" si="1"/>
        <v>46364</v>
      </c>
      <c r="BW7" s="36">
        <f t="shared" si="1"/>
        <v>46365</v>
      </c>
      <c r="BX7" s="36">
        <f t="shared" si="1"/>
        <v>46366</v>
      </c>
      <c r="BY7" s="36">
        <f t="shared" si="1"/>
        <v>46367</v>
      </c>
      <c r="BZ7" s="36">
        <f t="shared" si="1"/>
        <v>46368</v>
      </c>
      <c r="CA7" s="36">
        <f t="shared" si="1"/>
        <v>46369</v>
      </c>
      <c r="CB7" s="36">
        <f t="shared" si="1"/>
        <v>46370</v>
      </c>
      <c r="CC7" s="36">
        <f t="shared" si="1"/>
        <v>46371</v>
      </c>
      <c r="CD7" s="36">
        <f t="shared" si="1"/>
        <v>46372</v>
      </c>
      <c r="CE7" s="36">
        <f t="shared" si="1"/>
        <v>46373</v>
      </c>
      <c r="CF7" s="36">
        <f t="shared" si="1"/>
        <v>46374</v>
      </c>
      <c r="CG7" s="36">
        <f t="shared" si="1"/>
        <v>46375</v>
      </c>
      <c r="CH7" s="36">
        <f t="shared" si="1"/>
        <v>46376</v>
      </c>
      <c r="CI7" s="36">
        <f t="shared" si="1"/>
        <v>46377</v>
      </c>
      <c r="CJ7" s="36">
        <f t="shared" si="1"/>
        <v>46378</v>
      </c>
      <c r="CK7" s="36">
        <f t="shared" si="1"/>
        <v>46379</v>
      </c>
      <c r="CL7" s="36">
        <f t="shared" si="1"/>
        <v>46380</v>
      </c>
      <c r="CM7" s="36">
        <f t="shared" si="1"/>
        <v>46381</v>
      </c>
      <c r="CN7" s="36">
        <f t="shared" si="1"/>
        <v>46382</v>
      </c>
      <c r="CO7" s="36">
        <f t="shared" si="1"/>
        <v>46383</v>
      </c>
      <c r="CP7" s="36">
        <f t="shared" si="1"/>
        <v>46384</v>
      </c>
      <c r="CQ7" s="36">
        <f t="shared" si="1"/>
        <v>46385</v>
      </c>
      <c r="CR7" s="36">
        <f t="shared" si="1"/>
        <v>46386</v>
      </c>
      <c r="CS7" s="36">
        <f t="shared" si="1"/>
        <v>46387</v>
      </c>
      <c r="CT7" s="36">
        <f t="shared" si="1"/>
        <v>46388</v>
      </c>
      <c r="CU7" s="36">
        <f t="shared" si="1"/>
        <v>46389</v>
      </c>
      <c r="CV7" s="36">
        <f t="shared" si="1"/>
        <v>46390</v>
      </c>
      <c r="CW7" s="36">
        <f t="shared" si="1"/>
        <v>46391</v>
      </c>
      <c r="CX7" s="36">
        <f t="shared" si="1"/>
        <v>46392</v>
      </c>
      <c r="CY7" s="36">
        <f t="shared" si="1"/>
        <v>46393</v>
      </c>
      <c r="CZ7" s="36">
        <f t="shared" si="1"/>
        <v>46394</v>
      </c>
      <c r="DA7" s="36">
        <f t="shared" si="1"/>
        <v>46395</v>
      </c>
      <c r="DB7" s="36">
        <f t="shared" si="1"/>
        <v>46396</v>
      </c>
      <c r="DC7" s="36">
        <f t="shared" si="1"/>
        <v>46397</v>
      </c>
      <c r="DD7" s="36">
        <f t="shared" si="1"/>
        <v>46398</v>
      </c>
      <c r="DE7" s="36">
        <f t="shared" si="1"/>
        <v>46399</v>
      </c>
      <c r="DF7" s="36">
        <f t="shared" si="1"/>
        <v>46400</v>
      </c>
      <c r="DG7" s="36">
        <f t="shared" si="1"/>
        <v>46401</v>
      </c>
      <c r="DH7" s="36">
        <f t="shared" si="1"/>
        <v>46402</v>
      </c>
      <c r="DI7" s="36">
        <f t="shared" si="1"/>
        <v>46403</v>
      </c>
      <c r="DJ7" s="36">
        <f t="shared" si="1"/>
        <v>46404</v>
      </c>
      <c r="DK7" s="36">
        <f t="shared" si="1"/>
        <v>46405</v>
      </c>
      <c r="DL7" s="36">
        <f t="shared" si="1"/>
        <v>46406</v>
      </c>
      <c r="DM7" s="36">
        <f t="shared" si="1"/>
        <v>46407</v>
      </c>
      <c r="DN7" s="36">
        <f t="shared" si="1"/>
        <v>46408</v>
      </c>
      <c r="DO7" s="36">
        <f t="shared" si="1"/>
        <v>46409</v>
      </c>
      <c r="DP7" s="36">
        <f t="shared" si="1"/>
        <v>46410</v>
      </c>
      <c r="DQ7" s="37">
        <f t="shared" si="1"/>
        <v>46411</v>
      </c>
      <c r="DR7" s="38">
        <f t="shared" si="1"/>
        <v>46412</v>
      </c>
      <c r="DS7" s="38">
        <f t="shared" si="1"/>
        <v>46413</v>
      </c>
      <c r="DT7" s="38">
        <f t="shared" si="1"/>
        <v>46414</v>
      </c>
      <c r="DU7" s="38">
        <f t="shared" si="1"/>
        <v>46415</v>
      </c>
      <c r="DV7" s="39">
        <f t="shared" si="1"/>
        <v>46416</v>
      </c>
    </row>
    <row r="8" ht="19.5" customHeight="1">
      <c r="A8" s="4"/>
      <c r="B8" s="22"/>
      <c r="C8" s="22"/>
      <c r="D8" s="2"/>
      <c r="E8" s="2"/>
      <c r="F8" s="32"/>
      <c r="G8" s="40"/>
      <c r="H8" s="41"/>
      <c r="I8" s="41"/>
      <c r="J8" s="42"/>
      <c r="K8" s="36"/>
      <c r="L8" s="43"/>
      <c r="M8" s="41"/>
      <c r="N8" s="44"/>
      <c r="O8" s="42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43"/>
      <c r="DR8" s="45"/>
      <c r="DS8" s="45"/>
      <c r="DT8" s="45"/>
      <c r="DU8" s="45"/>
      <c r="DV8" s="46"/>
    </row>
    <row r="9" ht="39.75" customHeight="1">
      <c r="A9" s="4"/>
      <c r="B9" s="47" t="s">
        <v>5</v>
      </c>
      <c r="C9" s="48" t="s">
        <v>6</v>
      </c>
      <c r="D9" s="48" t="s">
        <v>7</v>
      </c>
      <c r="E9" s="48" t="s">
        <v>8</v>
      </c>
      <c r="F9" s="49"/>
      <c r="G9" s="50" t="str">
        <f t="shared" ref="G9:DV9" si="2">LEFT(TEXT(G7,"ddd"),1)</f>
        <v>v</v>
      </c>
      <c r="H9" s="50" t="str">
        <f t="shared" si="2"/>
        <v>s</v>
      </c>
      <c r="I9" s="50" t="str">
        <f t="shared" si="2"/>
        <v>d</v>
      </c>
      <c r="J9" s="51" t="str">
        <f t="shared" si="2"/>
        <v>l</v>
      </c>
      <c r="K9" s="52" t="str">
        <f t="shared" si="2"/>
        <v>m</v>
      </c>
      <c r="L9" s="53" t="str">
        <f t="shared" si="2"/>
        <v>m</v>
      </c>
      <c r="M9" s="50" t="str">
        <f t="shared" si="2"/>
        <v>j</v>
      </c>
      <c r="N9" s="50" t="str">
        <f t="shared" si="2"/>
        <v>v</v>
      </c>
      <c r="O9" s="51" t="str">
        <f t="shared" si="2"/>
        <v>s</v>
      </c>
      <c r="P9" s="52" t="str">
        <f t="shared" si="2"/>
        <v>d</v>
      </c>
      <c r="Q9" s="52" t="str">
        <f t="shared" si="2"/>
        <v>l</v>
      </c>
      <c r="R9" s="52" t="str">
        <f t="shared" si="2"/>
        <v>m</v>
      </c>
      <c r="S9" s="52" t="str">
        <f t="shared" si="2"/>
        <v>m</v>
      </c>
      <c r="T9" s="52" t="str">
        <f t="shared" si="2"/>
        <v>j</v>
      </c>
      <c r="U9" s="52" t="str">
        <f t="shared" si="2"/>
        <v>v</v>
      </c>
      <c r="V9" s="52" t="str">
        <f t="shared" si="2"/>
        <v>s</v>
      </c>
      <c r="W9" s="52" t="str">
        <f t="shared" si="2"/>
        <v>d</v>
      </c>
      <c r="X9" s="52" t="str">
        <f t="shared" si="2"/>
        <v>l</v>
      </c>
      <c r="Y9" s="52" t="str">
        <f t="shared" si="2"/>
        <v>m</v>
      </c>
      <c r="Z9" s="52" t="str">
        <f t="shared" si="2"/>
        <v>m</v>
      </c>
      <c r="AA9" s="52" t="str">
        <f t="shared" si="2"/>
        <v>j</v>
      </c>
      <c r="AB9" s="52" t="str">
        <f t="shared" si="2"/>
        <v>v</v>
      </c>
      <c r="AC9" s="52" t="str">
        <f t="shared" si="2"/>
        <v>s</v>
      </c>
      <c r="AD9" s="52" t="str">
        <f t="shared" si="2"/>
        <v>d</v>
      </c>
      <c r="AE9" s="52" t="str">
        <f t="shared" si="2"/>
        <v>l</v>
      </c>
      <c r="AF9" s="52" t="str">
        <f t="shared" si="2"/>
        <v>m</v>
      </c>
      <c r="AG9" s="52" t="str">
        <f t="shared" si="2"/>
        <v>m</v>
      </c>
      <c r="AH9" s="52" t="str">
        <f t="shared" si="2"/>
        <v>j</v>
      </c>
      <c r="AI9" s="52" t="str">
        <f t="shared" si="2"/>
        <v>v</v>
      </c>
      <c r="AJ9" s="52" t="str">
        <f t="shared" si="2"/>
        <v>s</v>
      </c>
      <c r="AK9" s="52" t="str">
        <f t="shared" si="2"/>
        <v>d</v>
      </c>
      <c r="AL9" s="52" t="str">
        <f t="shared" si="2"/>
        <v>l</v>
      </c>
      <c r="AM9" s="52" t="str">
        <f t="shared" si="2"/>
        <v>m</v>
      </c>
      <c r="AN9" s="52" t="str">
        <f t="shared" si="2"/>
        <v>m</v>
      </c>
      <c r="AO9" s="52" t="str">
        <f t="shared" si="2"/>
        <v>j</v>
      </c>
      <c r="AP9" s="52" t="str">
        <f t="shared" si="2"/>
        <v>v</v>
      </c>
      <c r="AQ9" s="52" t="str">
        <f t="shared" si="2"/>
        <v>s</v>
      </c>
      <c r="AR9" s="52" t="str">
        <f t="shared" si="2"/>
        <v>d</v>
      </c>
      <c r="AS9" s="52" t="str">
        <f t="shared" si="2"/>
        <v>l</v>
      </c>
      <c r="AT9" s="52" t="str">
        <f t="shared" si="2"/>
        <v>m</v>
      </c>
      <c r="AU9" s="52" t="str">
        <f t="shared" si="2"/>
        <v>m</v>
      </c>
      <c r="AV9" s="52" t="str">
        <f t="shared" si="2"/>
        <v>j</v>
      </c>
      <c r="AW9" s="52" t="str">
        <f t="shared" si="2"/>
        <v>v</v>
      </c>
      <c r="AX9" s="52" t="str">
        <f t="shared" si="2"/>
        <v>s</v>
      </c>
      <c r="AY9" s="52" t="str">
        <f t="shared" si="2"/>
        <v>d</v>
      </c>
      <c r="AZ9" s="52" t="str">
        <f t="shared" si="2"/>
        <v>l</v>
      </c>
      <c r="BA9" s="52" t="str">
        <f t="shared" si="2"/>
        <v>m</v>
      </c>
      <c r="BB9" s="52" t="str">
        <f t="shared" si="2"/>
        <v>m</v>
      </c>
      <c r="BC9" s="52" t="str">
        <f t="shared" si="2"/>
        <v>j</v>
      </c>
      <c r="BD9" s="52" t="str">
        <f t="shared" si="2"/>
        <v>v</v>
      </c>
      <c r="BE9" s="52" t="str">
        <f t="shared" si="2"/>
        <v>s</v>
      </c>
      <c r="BF9" s="52" t="str">
        <f t="shared" si="2"/>
        <v>d</v>
      </c>
      <c r="BG9" s="52" t="str">
        <f t="shared" si="2"/>
        <v>l</v>
      </c>
      <c r="BH9" s="52" t="str">
        <f t="shared" si="2"/>
        <v>m</v>
      </c>
      <c r="BI9" s="52" t="str">
        <f t="shared" si="2"/>
        <v>m</v>
      </c>
      <c r="BJ9" s="52" t="str">
        <f t="shared" si="2"/>
        <v>j</v>
      </c>
      <c r="BK9" s="52" t="str">
        <f t="shared" si="2"/>
        <v>v</v>
      </c>
      <c r="BL9" s="52" t="str">
        <f t="shared" si="2"/>
        <v>s</v>
      </c>
      <c r="BM9" s="52" t="str">
        <f t="shared" si="2"/>
        <v>d</v>
      </c>
      <c r="BN9" s="52" t="str">
        <f t="shared" si="2"/>
        <v>l</v>
      </c>
      <c r="BO9" s="52" t="str">
        <f t="shared" si="2"/>
        <v>m</v>
      </c>
      <c r="BP9" s="52" t="str">
        <f t="shared" si="2"/>
        <v>m</v>
      </c>
      <c r="BQ9" s="52" t="str">
        <f t="shared" si="2"/>
        <v>j</v>
      </c>
      <c r="BR9" s="52" t="str">
        <f t="shared" si="2"/>
        <v>v</v>
      </c>
      <c r="BS9" s="52" t="str">
        <f t="shared" si="2"/>
        <v>s</v>
      </c>
      <c r="BT9" s="52" t="str">
        <f t="shared" si="2"/>
        <v>d</v>
      </c>
      <c r="BU9" s="52" t="str">
        <f t="shared" si="2"/>
        <v>l</v>
      </c>
      <c r="BV9" s="52" t="str">
        <f t="shared" si="2"/>
        <v>m</v>
      </c>
      <c r="BW9" s="52" t="str">
        <f t="shared" si="2"/>
        <v>m</v>
      </c>
      <c r="BX9" s="52" t="str">
        <f t="shared" si="2"/>
        <v>j</v>
      </c>
      <c r="BY9" s="52" t="str">
        <f t="shared" si="2"/>
        <v>v</v>
      </c>
      <c r="BZ9" s="52" t="str">
        <f t="shared" si="2"/>
        <v>s</v>
      </c>
      <c r="CA9" s="52" t="str">
        <f t="shared" si="2"/>
        <v>d</v>
      </c>
      <c r="CB9" s="52" t="str">
        <f t="shared" si="2"/>
        <v>l</v>
      </c>
      <c r="CC9" s="52" t="str">
        <f t="shared" si="2"/>
        <v>m</v>
      </c>
      <c r="CD9" s="52" t="str">
        <f t="shared" si="2"/>
        <v>m</v>
      </c>
      <c r="CE9" s="52" t="str">
        <f t="shared" si="2"/>
        <v>j</v>
      </c>
      <c r="CF9" s="52" t="str">
        <f t="shared" si="2"/>
        <v>v</v>
      </c>
      <c r="CG9" s="52" t="str">
        <f t="shared" si="2"/>
        <v>s</v>
      </c>
      <c r="CH9" s="52" t="str">
        <f t="shared" si="2"/>
        <v>d</v>
      </c>
      <c r="CI9" s="52" t="str">
        <f t="shared" si="2"/>
        <v>l</v>
      </c>
      <c r="CJ9" s="52" t="str">
        <f t="shared" si="2"/>
        <v>m</v>
      </c>
      <c r="CK9" s="52" t="str">
        <f t="shared" si="2"/>
        <v>m</v>
      </c>
      <c r="CL9" s="52" t="str">
        <f t="shared" si="2"/>
        <v>j</v>
      </c>
      <c r="CM9" s="52" t="str">
        <f t="shared" si="2"/>
        <v>v</v>
      </c>
      <c r="CN9" s="52" t="str">
        <f t="shared" si="2"/>
        <v>s</v>
      </c>
      <c r="CO9" s="52" t="str">
        <f t="shared" si="2"/>
        <v>d</v>
      </c>
      <c r="CP9" s="52" t="str">
        <f t="shared" si="2"/>
        <v>l</v>
      </c>
      <c r="CQ9" s="52" t="str">
        <f t="shared" si="2"/>
        <v>m</v>
      </c>
      <c r="CR9" s="52" t="str">
        <f t="shared" si="2"/>
        <v>m</v>
      </c>
      <c r="CS9" s="52" t="str">
        <f t="shared" si="2"/>
        <v>j</v>
      </c>
      <c r="CT9" s="52" t="str">
        <f t="shared" si="2"/>
        <v>v</v>
      </c>
      <c r="CU9" s="52" t="str">
        <f t="shared" si="2"/>
        <v>s</v>
      </c>
      <c r="CV9" s="52" t="str">
        <f t="shared" si="2"/>
        <v>d</v>
      </c>
      <c r="CW9" s="52" t="str">
        <f t="shared" si="2"/>
        <v>l</v>
      </c>
      <c r="CX9" s="52" t="str">
        <f t="shared" si="2"/>
        <v>m</v>
      </c>
      <c r="CY9" s="52" t="str">
        <f t="shared" si="2"/>
        <v>m</v>
      </c>
      <c r="CZ9" s="52" t="str">
        <f t="shared" si="2"/>
        <v>j</v>
      </c>
      <c r="DA9" s="52" t="str">
        <f t="shared" si="2"/>
        <v>v</v>
      </c>
      <c r="DB9" s="52" t="str">
        <f t="shared" si="2"/>
        <v>s</v>
      </c>
      <c r="DC9" s="52" t="str">
        <f t="shared" si="2"/>
        <v>d</v>
      </c>
      <c r="DD9" s="52" t="str">
        <f t="shared" si="2"/>
        <v>l</v>
      </c>
      <c r="DE9" s="52" t="str">
        <f t="shared" si="2"/>
        <v>m</v>
      </c>
      <c r="DF9" s="52" t="str">
        <f t="shared" si="2"/>
        <v>m</v>
      </c>
      <c r="DG9" s="52" t="str">
        <f t="shared" si="2"/>
        <v>j</v>
      </c>
      <c r="DH9" s="52" t="str">
        <f t="shared" si="2"/>
        <v>v</v>
      </c>
      <c r="DI9" s="52" t="str">
        <f t="shared" si="2"/>
        <v>s</v>
      </c>
      <c r="DJ9" s="52" t="str">
        <f t="shared" si="2"/>
        <v>d</v>
      </c>
      <c r="DK9" s="52" t="str">
        <f t="shared" si="2"/>
        <v>l</v>
      </c>
      <c r="DL9" s="52" t="str">
        <f t="shared" si="2"/>
        <v>m</v>
      </c>
      <c r="DM9" s="52" t="str">
        <f t="shared" si="2"/>
        <v>m</v>
      </c>
      <c r="DN9" s="52" t="str">
        <f t="shared" si="2"/>
        <v>j</v>
      </c>
      <c r="DO9" s="52" t="str">
        <f t="shared" si="2"/>
        <v>v</v>
      </c>
      <c r="DP9" s="52" t="str">
        <f t="shared" si="2"/>
        <v>s</v>
      </c>
      <c r="DQ9" s="53" t="str">
        <f t="shared" si="2"/>
        <v>d</v>
      </c>
      <c r="DR9" s="50" t="str">
        <f t="shared" si="2"/>
        <v>l</v>
      </c>
      <c r="DS9" s="50" t="str">
        <f t="shared" si="2"/>
        <v>m</v>
      </c>
      <c r="DT9" s="50" t="str">
        <f t="shared" si="2"/>
        <v>m</v>
      </c>
      <c r="DU9" s="50" t="str">
        <f t="shared" si="2"/>
        <v>j</v>
      </c>
      <c r="DV9" s="54" t="str">
        <f t="shared" si="2"/>
        <v>v</v>
      </c>
    </row>
    <row r="10" ht="30.0" hidden="1" customHeight="1">
      <c r="A10" s="1"/>
      <c r="B10" s="55"/>
      <c r="C10" s="56"/>
      <c r="D10" s="57"/>
      <c r="E10" s="58"/>
      <c r="F10" s="2"/>
      <c r="G10" s="59"/>
      <c r="H10" s="59"/>
      <c r="I10" s="59"/>
      <c r="J10" s="60"/>
      <c r="K10" s="15"/>
      <c r="L10" s="61"/>
      <c r="M10" s="59"/>
      <c r="N10" s="59"/>
      <c r="O10" s="60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61"/>
      <c r="DR10" s="59"/>
      <c r="DS10" s="59"/>
      <c r="DT10" s="59"/>
      <c r="DU10" s="59"/>
      <c r="DV10" s="62"/>
    </row>
    <row r="11" ht="39.75" customHeight="1">
      <c r="A11" s="4"/>
      <c r="B11" s="63" t="s">
        <v>9</v>
      </c>
      <c r="C11" s="64" t="s">
        <v>10</v>
      </c>
      <c r="D11" s="65">
        <v>46296.0</v>
      </c>
      <c r="E11" s="66">
        <v>22.0</v>
      </c>
      <c r="F11" s="67"/>
      <c r="G11" s="68"/>
      <c r="H11" s="68"/>
      <c r="I11" s="68"/>
      <c r="J11" s="69"/>
      <c r="K11" s="70"/>
      <c r="L11" s="71"/>
      <c r="M11" s="68"/>
      <c r="N11" s="68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67" t="str">
        <f t="shared" ref="AB11:DV11" si="3">IF(AND($C11="Objetivo",AB$7&gt;=$D11,AB$7&lt;=$D11+$E11-1),2,IF(AND($C11="Hito",AB$7&gt;=$D11,AB$7&lt;=$D11+$E11-1),1,""))</f>
        <v/>
      </c>
      <c r="AC11" s="67" t="str">
        <f t="shared" si="3"/>
        <v/>
      </c>
      <c r="AD11" s="67" t="str">
        <f t="shared" si="3"/>
        <v/>
      </c>
      <c r="AE11" s="67" t="str">
        <f t="shared" si="3"/>
        <v/>
      </c>
      <c r="AF11" s="67" t="str">
        <f t="shared" si="3"/>
        <v/>
      </c>
      <c r="AG11" s="67" t="str">
        <f t="shared" si="3"/>
        <v/>
      </c>
      <c r="AH11" s="67" t="str">
        <f t="shared" si="3"/>
        <v/>
      </c>
      <c r="AI11" s="67" t="str">
        <f t="shared" si="3"/>
        <v/>
      </c>
      <c r="AJ11" s="67" t="str">
        <f t="shared" si="3"/>
        <v/>
      </c>
      <c r="AK11" s="67" t="str">
        <f t="shared" si="3"/>
        <v/>
      </c>
      <c r="AL11" s="67" t="str">
        <f t="shared" si="3"/>
        <v/>
      </c>
      <c r="AM11" s="67" t="str">
        <f t="shared" si="3"/>
        <v/>
      </c>
      <c r="AN11" s="67" t="str">
        <f t="shared" si="3"/>
        <v/>
      </c>
      <c r="AO11" s="67" t="str">
        <f t="shared" si="3"/>
        <v/>
      </c>
      <c r="AP11" s="67" t="str">
        <f t="shared" si="3"/>
        <v/>
      </c>
      <c r="AQ11" s="67" t="str">
        <f t="shared" si="3"/>
        <v/>
      </c>
      <c r="AR11" s="67" t="str">
        <f t="shared" si="3"/>
        <v/>
      </c>
      <c r="AS11" s="67" t="str">
        <f t="shared" si="3"/>
        <v/>
      </c>
      <c r="AT11" s="67" t="str">
        <f t="shared" si="3"/>
        <v/>
      </c>
      <c r="AU11" s="67" t="str">
        <f t="shared" si="3"/>
        <v/>
      </c>
      <c r="AV11" s="67" t="str">
        <f t="shared" si="3"/>
        <v/>
      </c>
      <c r="AW11" s="67" t="str">
        <f t="shared" si="3"/>
        <v/>
      </c>
      <c r="AX11" s="67" t="str">
        <f t="shared" si="3"/>
        <v/>
      </c>
      <c r="AY11" s="67" t="str">
        <f t="shared" si="3"/>
        <v/>
      </c>
      <c r="AZ11" s="67" t="str">
        <f t="shared" si="3"/>
        <v/>
      </c>
      <c r="BA11" s="67" t="str">
        <f t="shared" si="3"/>
        <v/>
      </c>
      <c r="BB11" s="67" t="str">
        <f t="shared" si="3"/>
        <v/>
      </c>
      <c r="BC11" s="67" t="str">
        <f t="shared" si="3"/>
        <v/>
      </c>
      <c r="BD11" s="67" t="str">
        <f t="shared" si="3"/>
        <v/>
      </c>
      <c r="BE11" s="67" t="str">
        <f t="shared" si="3"/>
        <v/>
      </c>
      <c r="BF11" s="67" t="str">
        <f t="shared" si="3"/>
        <v/>
      </c>
      <c r="BG11" s="67" t="str">
        <f t="shared" si="3"/>
        <v/>
      </c>
      <c r="BH11" s="67" t="str">
        <f t="shared" si="3"/>
        <v/>
      </c>
      <c r="BI11" s="67" t="str">
        <f t="shared" si="3"/>
        <v/>
      </c>
      <c r="BJ11" s="67" t="str">
        <f t="shared" si="3"/>
        <v/>
      </c>
      <c r="BK11" s="67" t="str">
        <f t="shared" si="3"/>
        <v/>
      </c>
      <c r="BL11" s="67" t="str">
        <f t="shared" si="3"/>
        <v/>
      </c>
      <c r="BM11" s="67" t="str">
        <f t="shared" si="3"/>
        <v/>
      </c>
      <c r="BN11" s="67" t="str">
        <f t="shared" si="3"/>
        <v/>
      </c>
      <c r="BO11" s="67" t="str">
        <f t="shared" si="3"/>
        <v/>
      </c>
      <c r="BP11" s="67" t="str">
        <f t="shared" si="3"/>
        <v/>
      </c>
      <c r="BQ11" s="67" t="str">
        <f t="shared" si="3"/>
        <v/>
      </c>
      <c r="BR11" s="67" t="str">
        <f t="shared" si="3"/>
        <v/>
      </c>
      <c r="BS11" s="67" t="str">
        <f t="shared" si="3"/>
        <v/>
      </c>
      <c r="BT11" s="67" t="str">
        <f t="shared" si="3"/>
        <v/>
      </c>
      <c r="BU11" s="67" t="str">
        <f t="shared" si="3"/>
        <v/>
      </c>
      <c r="BV11" s="67" t="str">
        <f t="shared" si="3"/>
        <v/>
      </c>
      <c r="BW11" s="67" t="str">
        <f t="shared" si="3"/>
        <v/>
      </c>
      <c r="BX11" s="67" t="str">
        <f t="shared" si="3"/>
        <v/>
      </c>
      <c r="BY11" s="67" t="str">
        <f t="shared" si="3"/>
        <v/>
      </c>
      <c r="BZ11" s="67" t="str">
        <f t="shared" si="3"/>
        <v/>
      </c>
      <c r="CA11" s="67" t="str">
        <f t="shared" si="3"/>
        <v/>
      </c>
      <c r="CB11" s="67" t="str">
        <f t="shared" si="3"/>
        <v/>
      </c>
      <c r="CC11" s="67" t="str">
        <f t="shared" si="3"/>
        <v/>
      </c>
      <c r="CD11" s="67" t="str">
        <f t="shared" si="3"/>
        <v/>
      </c>
      <c r="CE11" s="67" t="str">
        <f t="shared" si="3"/>
        <v/>
      </c>
      <c r="CF11" s="67" t="str">
        <f t="shared" si="3"/>
        <v/>
      </c>
      <c r="CG11" s="67" t="str">
        <f t="shared" si="3"/>
        <v/>
      </c>
      <c r="CH11" s="67" t="str">
        <f t="shared" si="3"/>
        <v/>
      </c>
      <c r="CI11" s="67" t="str">
        <f t="shared" si="3"/>
        <v/>
      </c>
      <c r="CJ11" s="67" t="str">
        <f t="shared" si="3"/>
        <v/>
      </c>
      <c r="CK11" s="67" t="str">
        <f t="shared" si="3"/>
        <v/>
      </c>
      <c r="CL11" s="67" t="str">
        <f t="shared" si="3"/>
        <v/>
      </c>
      <c r="CM11" s="67" t="str">
        <f t="shared" si="3"/>
        <v/>
      </c>
      <c r="CN11" s="67" t="str">
        <f t="shared" si="3"/>
        <v/>
      </c>
      <c r="CO11" s="67" t="str">
        <f t="shared" si="3"/>
        <v/>
      </c>
      <c r="CP11" s="67" t="str">
        <f t="shared" si="3"/>
        <v/>
      </c>
      <c r="CQ11" s="67" t="str">
        <f t="shared" si="3"/>
        <v/>
      </c>
      <c r="CR11" s="67" t="str">
        <f t="shared" si="3"/>
        <v/>
      </c>
      <c r="CS11" s="67" t="str">
        <f t="shared" si="3"/>
        <v/>
      </c>
      <c r="CT11" s="67" t="str">
        <f t="shared" si="3"/>
        <v/>
      </c>
      <c r="CU11" s="67" t="str">
        <f t="shared" si="3"/>
        <v/>
      </c>
      <c r="CV11" s="67" t="str">
        <f t="shared" si="3"/>
        <v/>
      </c>
      <c r="CW11" s="67" t="str">
        <f t="shared" si="3"/>
        <v/>
      </c>
      <c r="CX11" s="67" t="str">
        <f t="shared" si="3"/>
        <v/>
      </c>
      <c r="CY11" s="67" t="str">
        <f t="shared" si="3"/>
        <v/>
      </c>
      <c r="CZ11" s="67" t="str">
        <f t="shared" si="3"/>
        <v/>
      </c>
      <c r="DA11" s="67" t="str">
        <f t="shared" si="3"/>
        <v/>
      </c>
      <c r="DB11" s="67" t="str">
        <f t="shared" si="3"/>
        <v/>
      </c>
      <c r="DC11" s="67" t="str">
        <f t="shared" si="3"/>
        <v/>
      </c>
      <c r="DD11" s="67" t="str">
        <f t="shared" si="3"/>
        <v/>
      </c>
      <c r="DE11" s="67" t="str">
        <f t="shared" si="3"/>
        <v/>
      </c>
      <c r="DF11" s="67" t="str">
        <f t="shared" si="3"/>
        <v/>
      </c>
      <c r="DG11" s="67" t="str">
        <f t="shared" si="3"/>
        <v/>
      </c>
      <c r="DH11" s="67" t="str">
        <f t="shared" si="3"/>
        <v/>
      </c>
      <c r="DI11" s="67" t="str">
        <f t="shared" si="3"/>
        <v/>
      </c>
      <c r="DJ11" s="67" t="str">
        <f t="shared" si="3"/>
        <v/>
      </c>
      <c r="DK11" s="67" t="str">
        <f t="shared" si="3"/>
        <v/>
      </c>
      <c r="DL11" s="67" t="str">
        <f t="shared" si="3"/>
        <v/>
      </c>
      <c r="DM11" s="67" t="str">
        <f t="shared" si="3"/>
        <v/>
      </c>
      <c r="DN11" s="67" t="str">
        <f t="shared" si="3"/>
        <v/>
      </c>
      <c r="DO11" s="67" t="str">
        <f t="shared" si="3"/>
        <v/>
      </c>
      <c r="DP11" s="67" t="str">
        <f t="shared" si="3"/>
        <v/>
      </c>
      <c r="DQ11" s="72" t="str">
        <f t="shared" si="3"/>
        <v/>
      </c>
      <c r="DR11" s="73" t="str">
        <f t="shared" si="3"/>
        <v/>
      </c>
      <c r="DS11" s="73" t="str">
        <f t="shared" si="3"/>
        <v/>
      </c>
      <c r="DT11" s="73" t="str">
        <f t="shared" si="3"/>
        <v/>
      </c>
      <c r="DU11" s="73" t="str">
        <f t="shared" si="3"/>
        <v/>
      </c>
      <c r="DV11" s="74" t="str">
        <f t="shared" si="3"/>
        <v/>
      </c>
    </row>
    <row r="12" ht="39.75" customHeight="1">
      <c r="A12" s="4"/>
      <c r="B12" s="63" t="s">
        <v>11</v>
      </c>
      <c r="C12" s="64" t="s">
        <v>10</v>
      </c>
      <c r="D12" s="65">
        <v>46317.0</v>
      </c>
      <c r="E12" s="66">
        <v>15.0</v>
      </c>
      <c r="F12" s="67"/>
      <c r="G12" s="73" t="str">
        <f t="shared" ref="G12:Z12" si="4">IF(AND($C12="Objetivo",G$7&gt;=$D12,G$7&lt;=$D12+$E12-1),2,IF(AND($C12="Hito",G$7&gt;=$D12,G$7&lt;=$D12+$E12-1),1,""))</f>
        <v/>
      </c>
      <c r="H12" s="73" t="str">
        <f t="shared" si="4"/>
        <v/>
      </c>
      <c r="I12" s="73" t="str">
        <f t="shared" si="4"/>
        <v/>
      </c>
      <c r="J12" s="75" t="str">
        <f t="shared" si="4"/>
        <v/>
      </c>
      <c r="K12" s="67" t="str">
        <f t="shared" si="4"/>
        <v/>
      </c>
      <c r="L12" s="72" t="str">
        <f t="shared" si="4"/>
        <v/>
      </c>
      <c r="M12" s="73" t="str">
        <f t="shared" si="4"/>
        <v/>
      </c>
      <c r="N12" s="73" t="str">
        <f t="shared" si="4"/>
        <v/>
      </c>
      <c r="O12" s="75" t="str">
        <f t="shared" si="4"/>
        <v/>
      </c>
      <c r="P12" s="67" t="str">
        <f t="shared" si="4"/>
        <v/>
      </c>
      <c r="Q12" s="67" t="str">
        <f t="shared" si="4"/>
        <v/>
      </c>
      <c r="R12" s="67" t="str">
        <f t="shared" si="4"/>
        <v/>
      </c>
      <c r="S12" s="67" t="str">
        <f t="shared" si="4"/>
        <v/>
      </c>
      <c r="T12" s="67" t="str">
        <f t="shared" si="4"/>
        <v/>
      </c>
      <c r="U12" s="67" t="str">
        <f t="shared" si="4"/>
        <v/>
      </c>
      <c r="V12" s="67" t="str">
        <f t="shared" si="4"/>
        <v/>
      </c>
      <c r="W12" s="67" t="str">
        <f t="shared" si="4"/>
        <v/>
      </c>
      <c r="X12" s="67" t="str">
        <f t="shared" si="4"/>
        <v/>
      </c>
      <c r="Y12" s="67" t="str">
        <f t="shared" si="4"/>
        <v/>
      </c>
      <c r="Z12" s="67" t="str">
        <f t="shared" si="4"/>
        <v/>
      </c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67" t="str">
        <f t="shared" ref="AP12:DV12" si="5">IF(AND($C12="Objetivo",AP$7&gt;=$D12,AP$7&lt;=$D12+$E12-1),2,IF(AND($C12="Hito",AP$7&gt;=$D12,AP$7&lt;=$D12+$E12-1),1,""))</f>
        <v/>
      </c>
      <c r="AQ12" s="67" t="str">
        <f t="shared" si="5"/>
        <v/>
      </c>
      <c r="AR12" s="67" t="str">
        <f t="shared" si="5"/>
        <v/>
      </c>
      <c r="AS12" s="67" t="str">
        <f t="shared" si="5"/>
        <v/>
      </c>
      <c r="AT12" s="67" t="str">
        <f t="shared" si="5"/>
        <v/>
      </c>
      <c r="AU12" s="67" t="str">
        <f t="shared" si="5"/>
        <v/>
      </c>
      <c r="AV12" s="67" t="str">
        <f t="shared" si="5"/>
        <v/>
      </c>
      <c r="AW12" s="67" t="str">
        <f t="shared" si="5"/>
        <v/>
      </c>
      <c r="AX12" s="67" t="str">
        <f t="shared" si="5"/>
        <v/>
      </c>
      <c r="AY12" s="67" t="str">
        <f t="shared" si="5"/>
        <v/>
      </c>
      <c r="AZ12" s="67" t="str">
        <f t="shared" si="5"/>
        <v/>
      </c>
      <c r="BA12" s="67" t="str">
        <f t="shared" si="5"/>
        <v/>
      </c>
      <c r="BB12" s="67" t="str">
        <f t="shared" si="5"/>
        <v/>
      </c>
      <c r="BC12" s="67" t="str">
        <f t="shared" si="5"/>
        <v/>
      </c>
      <c r="BD12" s="67" t="str">
        <f t="shared" si="5"/>
        <v/>
      </c>
      <c r="BE12" s="67" t="str">
        <f t="shared" si="5"/>
        <v/>
      </c>
      <c r="BF12" s="67" t="str">
        <f t="shared" si="5"/>
        <v/>
      </c>
      <c r="BG12" s="67" t="str">
        <f t="shared" si="5"/>
        <v/>
      </c>
      <c r="BH12" s="67" t="str">
        <f t="shared" si="5"/>
        <v/>
      </c>
      <c r="BI12" s="67" t="str">
        <f t="shared" si="5"/>
        <v/>
      </c>
      <c r="BJ12" s="67" t="str">
        <f t="shared" si="5"/>
        <v/>
      </c>
      <c r="BK12" s="67" t="str">
        <f t="shared" si="5"/>
        <v/>
      </c>
      <c r="BL12" s="67" t="str">
        <f t="shared" si="5"/>
        <v/>
      </c>
      <c r="BM12" s="67" t="str">
        <f t="shared" si="5"/>
        <v/>
      </c>
      <c r="BN12" s="67" t="str">
        <f t="shared" si="5"/>
        <v/>
      </c>
      <c r="BO12" s="67" t="str">
        <f t="shared" si="5"/>
        <v/>
      </c>
      <c r="BP12" s="67" t="str">
        <f t="shared" si="5"/>
        <v/>
      </c>
      <c r="BQ12" s="67" t="str">
        <f t="shared" si="5"/>
        <v/>
      </c>
      <c r="BR12" s="67" t="str">
        <f t="shared" si="5"/>
        <v/>
      </c>
      <c r="BS12" s="67" t="str">
        <f t="shared" si="5"/>
        <v/>
      </c>
      <c r="BT12" s="67" t="str">
        <f t="shared" si="5"/>
        <v/>
      </c>
      <c r="BU12" s="67" t="str">
        <f t="shared" si="5"/>
        <v/>
      </c>
      <c r="BV12" s="67" t="str">
        <f t="shared" si="5"/>
        <v/>
      </c>
      <c r="BW12" s="67" t="str">
        <f t="shared" si="5"/>
        <v/>
      </c>
      <c r="BX12" s="67" t="str">
        <f t="shared" si="5"/>
        <v/>
      </c>
      <c r="BY12" s="67" t="str">
        <f t="shared" si="5"/>
        <v/>
      </c>
      <c r="BZ12" s="67" t="str">
        <f t="shared" si="5"/>
        <v/>
      </c>
      <c r="CA12" s="67" t="str">
        <f t="shared" si="5"/>
        <v/>
      </c>
      <c r="CB12" s="67" t="str">
        <f t="shared" si="5"/>
        <v/>
      </c>
      <c r="CC12" s="67" t="str">
        <f t="shared" si="5"/>
        <v/>
      </c>
      <c r="CD12" s="67" t="str">
        <f t="shared" si="5"/>
        <v/>
      </c>
      <c r="CE12" s="67" t="str">
        <f t="shared" si="5"/>
        <v/>
      </c>
      <c r="CF12" s="67" t="str">
        <f t="shared" si="5"/>
        <v/>
      </c>
      <c r="CG12" s="67" t="str">
        <f t="shared" si="5"/>
        <v/>
      </c>
      <c r="CH12" s="67" t="str">
        <f t="shared" si="5"/>
        <v/>
      </c>
      <c r="CI12" s="67" t="str">
        <f t="shared" si="5"/>
        <v/>
      </c>
      <c r="CJ12" s="67" t="str">
        <f t="shared" si="5"/>
        <v/>
      </c>
      <c r="CK12" s="67" t="str">
        <f t="shared" si="5"/>
        <v/>
      </c>
      <c r="CL12" s="67" t="str">
        <f t="shared" si="5"/>
        <v/>
      </c>
      <c r="CM12" s="67" t="str">
        <f t="shared" si="5"/>
        <v/>
      </c>
      <c r="CN12" s="67" t="str">
        <f t="shared" si="5"/>
        <v/>
      </c>
      <c r="CO12" s="67" t="str">
        <f t="shared" si="5"/>
        <v/>
      </c>
      <c r="CP12" s="67" t="str">
        <f t="shared" si="5"/>
        <v/>
      </c>
      <c r="CQ12" s="67" t="str">
        <f t="shared" si="5"/>
        <v/>
      </c>
      <c r="CR12" s="67" t="str">
        <f t="shared" si="5"/>
        <v/>
      </c>
      <c r="CS12" s="67" t="str">
        <f t="shared" si="5"/>
        <v/>
      </c>
      <c r="CT12" s="67" t="str">
        <f t="shared" si="5"/>
        <v/>
      </c>
      <c r="CU12" s="67" t="str">
        <f t="shared" si="5"/>
        <v/>
      </c>
      <c r="CV12" s="67" t="str">
        <f t="shared" si="5"/>
        <v/>
      </c>
      <c r="CW12" s="67" t="str">
        <f t="shared" si="5"/>
        <v/>
      </c>
      <c r="CX12" s="67" t="str">
        <f t="shared" si="5"/>
        <v/>
      </c>
      <c r="CY12" s="67" t="str">
        <f t="shared" si="5"/>
        <v/>
      </c>
      <c r="CZ12" s="67" t="str">
        <f t="shared" si="5"/>
        <v/>
      </c>
      <c r="DA12" s="67" t="str">
        <f t="shared" si="5"/>
        <v/>
      </c>
      <c r="DB12" s="67" t="str">
        <f t="shared" si="5"/>
        <v/>
      </c>
      <c r="DC12" s="67" t="str">
        <f t="shared" si="5"/>
        <v/>
      </c>
      <c r="DD12" s="67" t="str">
        <f t="shared" si="5"/>
        <v/>
      </c>
      <c r="DE12" s="67" t="str">
        <f t="shared" si="5"/>
        <v/>
      </c>
      <c r="DF12" s="67" t="str">
        <f t="shared" si="5"/>
        <v/>
      </c>
      <c r="DG12" s="67" t="str">
        <f t="shared" si="5"/>
        <v/>
      </c>
      <c r="DH12" s="67" t="str">
        <f t="shared" si="5"/>
        <v/>
      </c>
      <c r="DI12" s="67" t="str">
        <f t="shared" si="5"/>
        <v/>
      </c>
      <c r="DJ12" s="67" t="str">
        <f t="shared" si="5"/>
        <v/>
      </c>
      <c r="DK12" s="67" t="str">
        <f t="shared" si="5"/>
        <v/>
      </c>
      <c r="DL12" s="67" t="str">
        <f t="shared" si="5"/>
        <v/>
      </c>
      <c r="DM12" s="67" t="str">
        <f t="shared" si="5"/>
        <v/>
      </c>
      <c r="DN12" s="67" t="str">
        <f t="shared" si="5"/>
        <v/>
      </c>
      <c r="DO12" s="67" t="str">
        <f t="shared" si="5"/>
        <v/>
      </c>
      <c r="DP12" s="67" t="str">
        <f t="shared" si="5"/>
        <v/>
      </c>
      <c r="DQ12" s="72" t="str">
        <f t="shared" si="5"/>
        <v/>
      </c>
      <c r="DR12" s="73" t="str">
        <f t="shared" si="5"/>
        <v/>
      </c>
      <c r="DS12" s="73" t="str">
        <f t="shared" si="5"/>
        <v/>
      </c>
      <c r="DT12" s="73" t="str">
        <f t="shared" si="5"/>
        <v/>
      </c>
      <c r="DU12" s="73" t="str">
        <f t="shared" si="5"/>
        <v/>
      </c>
      <c r="DV12" s="74" t="str">
        <f t="shared" si="5"/>
        <v/>
      </c>
    </row>
    <row r="13" ht="39.75" customHeight="1">
      <c r="A13" s="1"/>
      <c r="B13" s="63" t="s">
        <v>12</v>
      </c>
      <c r="C13" s="64" t="s">
        <v>10</v>
      </c>
      <c r="D13" s="65">
        <v>46331.0</v>
      </c>
      <c r="E13" s="66">
        <v>15.0</v>
      </c>
      <c r="F13" s="67"/>
      <c r="G13" s="73" t="str">
        <f t="shared" ref="G13:AN13" si="6">IF(AND($C13="Objetivo",G$7&gt;=$D13,G$7&lt;=$D13+$E13-1),2,IF(AND($C13="Hito",G$7&gt;=$D13,G$7&lt;=$D13+$E13-1),1,""))</f>
        <v/>
      </c>
      <c r="H13" s="73" t="str">
        <f t="shared" si="6"/>
        <v/>
      </c>
      <c r="I13" s="73" t="str">
        <f t="shared" si="6"/>
        <v/>
      </c>
      <c r="J13" s="75" t="str">
        <f t="shared" si="6"/>
        <v/>
      </c>
      <c r="K13" s="67" t="str">
        <f t="shared" si="6"/>
        <v/>
      </c>
      <c r="L13" s="72" t="str">
        <f t="shared" si="6"/>
        <v/>
      </c>
      <c r="M13" s="73" t="str">
        <f t="shared" si="6"/>
        <v/>
      </c>
      <c r="N13" s="73" t="str">
        <f t="shared" si="6"/>
        <v/>
      </c>
      <c r="O13" s="75" t="str">
        <f t="shared" si="6"/>
        <v/>
      </c>
      <c r="P13" s="67" t="str">
        <f t="shared" si="6"/>
        <v/>
      </c>
      <c r="Q13" s="67" t="str">
        <f t="shared" si="6"/>
        <v/>
      </c>
      <c r="R13" s="67" t="str">
        <f t="shared" si="6"/>
        <v/>
      </c>
      <c r="S13" s="67" t="str">
        <f t="shared" si="6"/>
        <v/>
      </c>
      <c r="T13" s="67" t="str">
        <f t="shared" si="6"/>
        <v/>
      </c>
      <c r="U13" s="67" t="str">
        <f t="shared" si="6"/>
        <v/>
      </c>
      <c r="V13" s="67" t="str">
        <f t="shared" si="6"/>
        <v/>
      </c>
      <c r="W13" s="67" t="str">
        <f t="shared" si="6"/>
        <v/>
      </c>
      <c r="X13" s="67" t="str">
        <f t="shared" si="6"/>
        <v/>
      </c>
      <c r="Y13" s="67" t="str">
        <f t="shared" si="6"/>
        <v/>
      </c>
      <c r="Z13" s="67" t="str">
        <f t="shared" si="6"/>
        <v/>
      </c>
      <c r="AA13" s="67" t="str">
        <f t="shared" si="6"/>
        <v/>
      </c>
      <c r="AB13" s="67" t="str">
        <f t="shared" si="6"/>
        <v/>
      </c>
      <c r="AC13" s="67" t="str">
        <f t="shared" si="6"/>
        <v/>
      </c>
      <c r="AD13" s="67" t="str">
        <f t="shared" si="6"/>
        <v/>
      </c>
      <c r="AE13" s="67" t="str">
        <f t="shared" si="6"/>
        <v/>
      </c>
      <c r="AF13" s="67" t="str">
        <f t="shared" si="6"/>
        <v/>
      </c>
      <c r="AG13" s="67" t="str">
        <f t="shared" si="6"/>
        <v/>
      </c>
      <c r="AH13" s="67" t="str">
        <f t="shared" si="6"/>
        <v/>
      </c>
      <c r="AI13" s="67" t="str">
        <f t="shared" si="6"/>
        <v/>
      </c>
      <c r="AJ13" s="67" t="str">
        <f t="shared" si="6"/>
        <v/>
      </c>
      <c r="AK13" s="67" t="str">
        <f t="shared" si="6"/>
        <v/>
      </c>
      <c r="AL13" s="67" t="str">
        <f t="shared" si="6"/>
        <v/>
      </c>
      <c r="AM13" s="67" t="str">
        <f t="shared" si="6"/>
        <v/>
      </c>
      <c r="AN13" s="67" t="str">
        <f t="shared" si="6"/>
        <v/>
      </c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67" t="str">
        <f t="shared" ref="BD13:DV13" si="7">IF(AND($C13="Objetivo",BD$7&gt;=$D13,BD$7&lt;=$D13+$E13-1),2,IF(AND($C13="Hito",BD$7&gt;=$D13,BD$7&lt;=$D13+$E13-1),1,""))</f>
        <v/>
      </c>
      <c r="BE13" s="67" t="str">
        <f t="shared" si="7"/>
        <v/>
      </c>
      <c r="BF13" s="67" t="str">
        <f t="shared" si="7"/>
        <v/>
      </c>
      <c r="BG13" s="67" t="str">
        <f t="shared" si="7"/>
        <v/>
      </c>
      <c r="BH13" s="67" t="str">
        <f t="shared" si="7"/>
        <v/>
      </c>
      <c r="BI13" s="67" t="str">
        <f t="shared" si="7"/>
        <v/>
      </c>
      <c r="BJ13" s="67" t="str">
        <f t="shared" si="7"/>
        <v/>
      </c>
      <c r="BK13" s="67" t="str">
        <f t="shared" si="7"/>
        <v/>
      </c>
      <c r="BL13" s="67" t="str">
        <f t="shared" si="7"/>
        <v/>
      </c>
      <c r="BM13" s="67" t="str">
        <f t="shared" si="7"/>
        <v/>
      </c>
      <c r="BN13" s="67" t="str">
        <f t="shared" si="7"/>
        <v/>
      </c>
      <c r="BO13" s="67" t="str">
        <f t="shared" si="7"/>
        <v/>
      </c>
      <c r="BP13" s="67" t="str">
        <f t="shared" si="7"/>
        <v/>
      </c>
      <c r="BQ13" s="67" t="str">
        <f t="shared" si="7"/>
        <v/>
      </c>
      <c r="BR13" s="67" t="str">
        <f t="shared" si="7"/>
        <v/>
      </c>
      <c r="BS13" s="67" t="str">
        <f t="shared" si="7"/>
        <v/>
      </c>
      <c r="BT13" s="67" t="str">
        <f t="shared" si="7"/>
        <v/>
      </c>
      <c r="BU13" s="67" t="str">
        <f t="shared" si="7"/>
        <v/>
      </c>
      <c r="BV13" s="67" t="str">
        <f t="shared" si="7"/>
        <v/>
      </c>
      <c r="BW13" s="67" t="str">
        <f t="shared" si="7"/>
        <v/>
      </c>
      <c r="BX13" s="67" t="str">
        <f t="shared" si="7"/>
        <v/>
      </c>
      <c r="BY13" s="67" t="str">
        <f t="shared" si="7"/>
        <v/>
      </c>
      <c r="BZ13" s="67" t="str">
        <f t="shared" si="7"/>
        <v/>
      </c>
      <c r="CA13" s="67" t="str">
        <f t="shared" si="7"/>
        <v/>
      </c>
      <c r="CB13" s="67" t="str">
        <f t="shared" si="7"/>
        <v/>
      </c>
      <c r="CC13" s="67" t="str">
        <f t="shared" si="7"/>
        <v/>
      </c>
      <c r="CD13" s="67" t="str">
        <f t="shared" si="7"/>
        <v/>
      </c>
      <c r="CE13" s="67" t="str">
        <f t="shared" si="7"/>
        <v/>
      </c>
      <c r="CF13" s="67" t="str">
        <f t="shared" si="7"/>
        <v/>
      </c>
      <c r="CG13" s="67" t="str">
        <f t="shared" si="7"/>
        <v/>
      </c>
      <c r="CH13" s="67" t="str">
        <f t="shared" si="7"/>
        <v/>
      </c>
      <c r="CI13" s="67" t="str">
        <f t="shared" si="7"/>
        <v/>
      </c>
      <c r="CJ13" s="67" t="str">
        <f t="shared" si="7"/>
        <v/>
      </c>
      <c r="CK13" s="67" t="str">
        <f t="shared" si="7"/>
        <v/>
      </c>
      <c r="CL13" s="67" t="str">
        <f t="shared" si="7"/>
        <v/>
      </c>
      <c r="CM13" s="67" t="str">
        <f t="shared" si="7"/>
        <v/>
      </c>
      <c r="CN13" s="67" t="str">
        <f t="shared" si="7"/>
        <v/>
      </c>
      <c r="CO13" s="67" t="str">
        <f t="shared" si="7"/>
        <v/>
      </c>
      <c r="CP13" s="67" t="str">
        <f t="shared" si="7"/>
        <v/>
      </c>
      <c r="CQ13" s="67" t="str">
        <f t="shared" si="7"/>
        <v/>
      </c>
      <c r="CR13" s="67" t="str">
        <f t="shared" si="7"/>
        <v/>
      </c>
      <c r="CS13" s="67" t="str">
        <f t="shared" si="7"/>
        <v/>
      </c>
      <c r="CT13" s="67" t="str">
        <f t="shared" si="7"/>
        <v/>
      </c>
      <c r="CU13" s="67" t="str">
        <f t="shared" si="7"/>
        <v/>
      </c>
      <c r="CV13" s="67" t="str">
        <f t="shared" si="7"/>
        <v/>
      </c>
      <c r="CW13" s="67" t="str">
        <f t="shared" si="7"/>
        <v/>
      </c>
      <c r="CX13" s="67" t="str">
        <f t="shared" si="7"/>
        <v/>
      </c>
      <c r="CY13" s="67" t="str">
        <f t="shared" si="7"/>
        <v/>
      </c>
      <c r="CZ13" s="67" t="str">
        <f t="shared" si="7"/>
        <v/>
      </c>
      <c r="DA13" s="67" t="str">
        <f t="shared" si="7"/>
        <v/>
      </c>
      <c r="DB13" s="67" t="str">
        <f t="shared" si="7"/>
        <v/>
      </c>
      <c r="DC13" s="67" t="str">
        <f t="shared" si="7"/>
        <v/>
      </c>
      <c r="DD13" s="67" t="str">
        <f t="shared" si="7"/>
        <v/>
      </c>
      <c r="DE13" s="67" t="str">
        <f t="shared" si="7"/>
        <v/>
      </c>
      <c r="DF13" s="67" t="str">
        <f t="shared" si="7"/>
        <v/>
      </c>
      <c r="DG13" s="67" t="str">
        <f t="shared" si="7"/>
        <v/>
      </c>
      <c r="DH13" s="67" t="str">
        <f t="shared" si="7"/>
        <v/>
      </c>
      <c r="DI13" s="67" t="str">
        <f t="shared" si="7"/>
        <v/>
      </c>
      <c r="DJ13" s="67" t="str">
        <f t="shared" si="7"/>
        <v/>
      </c>
      <c r="DK13" s="67" t="str">
        <f t="shared" si="7"/>
        <v/>
      </c>
      <c r="DL13" s="67" t="str">
        <f t="shared" si="7"/>
        <v/>
      </c>
      <c r="DM13" s="67" t="str">
        <f t="shared" si="7"/>
        <v/>
      </c>
      <c r="DN13" s="67" t="str">
        <f t="shared" si="7"/>
        <v/>
      </c>
      <c r="DO13" s="67" t="str">
        <f t="shared" si="7"/>
        <v/>
      </c>
      <c r="DP13" s="67" t="str">
        <f t="shared" si="7"/>
        <v/>
      </c>
      <c r="DQ13" s="72" t="str">
        <f t="shared" si="7"/>
        <v/>
      </c>
      <c r="DR13" s="73" t="str">
        <f t="shared" si="7"/>
        <v/>
      </c>
      <c r="DS13" s="73" t="str">
        <f t="shared" si="7"/>
        <v/>
      </c>
      <c r="DT13" s="73" t="str">
        <f t="shared" si="7"/>
        <v/>
      </c>
      <c r="DU13" s="73" t="str">
        <f t="shared" si="7"/>
        <v/>
      </c>
      <c r="DV13" s="74" t="str">
        <f t="shared" si="7"/>
        <v/>
      </c>
    </row>
    <row r="14" ht="39.75" customHeight="1">
      <c r="A14" s="1"/>
      <c r="B14" s="63" t="s">
        <v>13</v>
      </c>
      <c r="C14" s="64" t="s">
        <v>10</v>
      </c>
      <c r="D14" s="65">
        <v>46345.0</v>
      </c>
      <c r="E14" s="66">
        <v>15.0</v>
      </c>
      <c r="F14" s="67"/>
      <c r="G14" s="73" t="str">
        <f t="shared" ref="G14:BB14" si="8">IF(AND($C14="Objetivo",G$7&gt;=$D14,G$7&lt;=$D14+$E14-1),2,IF(AND($C14="Hito",G$7&gt;=$D14,G$7&lt;=$D14+$E14-1),1,""))</f>
        <v/>
      </c>
      <c r="H14" s="73" t="str">
        <f t="shared" si="8"/>
        <v/>
      </c>
      <c r="I14" s="73" t="str">
        <f t="shared" si="8"/>
        <v/>
      </c>
      <c r="J14" s="75" t="str">
        <f t="shared" si="8"/>
        <v/>
      </c>
      <c r="K14" s="67" t="str">
        <f t="shared" si="8"/>
        <v/>
      </c>
      <c r="L14" s="72" t="str">
        <f t="shared" si="8"/>
        <v/>
      </c>
      <c r="M14" s="73" t="str">
        <f t="shared" si="8"/>
        <v/>
      </c>
      <c r="N14" s="73" t="str">
        <f t="shared" si="8"/>
        <v/>
      </c>
      <c r="O14" s="75" t="str">
        <f t="shared" si="8"/>
        <v/>
      </c>
      <c r="P14" s="67" t="str">
        <f t="shared" si="8"/>
        <v/>
      </c>
      <c r="Q14" s="67" t="str">
        <f t="shared" si="8"/>
        <v/>
      </c>
      <c r="R14" s="67" t="str">
        <f t="shared" si="8"/>
        <v/>
      </c>
      <c r="S14" s="67" t="str">
        <f t="shared" si="8"/>
        <v/>
      </c>
      <c r="T14" s="67" t="str">
        <f t="shared" si="8"/>
        <v/>
      </c>
      <c r="U14" s="67" t="str">
        <f t="shared" si="8"/>
        <v/>
      </c>
      <c r="V14" s="67" t="str">
        <f t="shared" si="8"/>
        <v/>
      </c>
      <c r="W14" s="67" t="str">
        <f t="shared" si="8"/>
        <v/>
      </c>
      <c r="X14" s="67" t="str">
        <f t="shared" si="8"/>
        <v/>
      </c>
      <c r="Y14" s="67" t="str">
        <f t="shared" si="8"/>
        <v/>
      </c>
      <c r="Z14" s="67" t="str">
        <f t="shared" si="8"/>
        <v/>
      </c>
      <c r="AA14" s="67" t="str">
        <f t="shared" si="8"/>
        <v/>
      </c>
      <c r="AB14" s="67" t="str">
        <f t="shared" si="8"/>
        <v/>
      </c>
      <c r="AC14" s="67" t="str">
        <f t="shared" si="8"/>
        <v/>
      </c>
      <c r="AD14" s="67" t="str">
        <f t="shared" si="8"/>
        <v/>
      </c>
      <c r="AE14" s="67" t="str">
        <f t="shared" si="8"/>
        <v/>
      </c>
      <c r="AF14" s="67" t="str">
        <f t="shared" si="8"/>
        <v/>
      </c>
      <c r="AG14" s="67" t="str">
        <f t="shared" si="8"/>
        <v/>
      </c>
      <c r="AH14" s="67" t="str">
        <f t="shared" si="8"/>
        <v/>
      </c>
      <c r="AI14" s="67" t="str">
        <f t="shared" si="8"/>
        <v/>
      </c>
      <c r="AJ14" s="67" t="str">
        <f t="shared" si="8"/>
        <v/>
      </c>
      <c r="AK14" s="67" t="str">
        <f t="shared" si="8"/>
        <v/>
      </c>
      <c r="AL14" s="67" t="str">
        <f t="shared" si="8"/>
        <v/>
      </c>
      <c r="AM14" s="67" t="str">
        <f t="shared" si="8"/>
        <v/>
      </c>
      <c r="AN14" s="67" t="str">
        <f t="shared" si="8"/>
        <v/>
      </c>
      <c r="AO14" s="67" t="str">
        <f t="shared" si="8"/>
        <v/>
      </c>
      <c r="AP14" s="67" t="str">
        <f t="shared" si="8"/>
        <v/>
      </c>
      <c r="AQ14" s="67" t="str">
        <f t="shared" si="8"/>
        <v/>
      </c>
      <c r="AR14" s="67" t="str">
        <f t="shared" si="8"/>
        <v/>
      </c>
      <c r="AS14" s="67" t="str">
        <f t="shared" si="8"/>
        <v/>
      </c>
      <c r="AT14" s="67" t="str">
        <f t="shared" si="8"/>
        <v/>
      </c>
      <c r="AU14" s="67" t="str">
        <f t="shared" si="8"/>
        <v/>
      </c>
      <c r="AV14" s="67" t="str">
        <f t="shared" si="8"/>
        <v/>
      </c>
      <c r="AW14" s="67" t="str">
        <f t="shared" si="8"/>
        <v/>
      </c>
      <c r="AX14" s="67" t="str">
        <f t="shared" si="8"/>
        <v/>
      </c>
      <c r="AY14" s="67" t="str">
        <f t="shared" si="8"/>
        <v/>
      </c>
      <c r="AZ14" s="67" t="str">
        <f t="shared" si="8"/>
        <v/>
      </c>
      <c r="BA14" s="67" t="str">
        <f t="shared" si="8"/>
        <v/>
      </c>
      <c r="BB14" s="67" t="str">
        <f t="shared" si="8"/>
        <v/>
      </c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67" t="str">
        <f t="shared" ref="BR14:CN14" si="9">IF(AND($C14="Objetivo",BR$7&gt;=$D14,BR$7&lt;=$D14+$E14-1),2,IF(AND($C14="Hito",BR$7&gt;=$D14,BR$7&lt;=$D14+$E14-1),1,""))</f>
        <v/>
      </c>
      <c r="BS14" s="67" t="str">
        <f t="shared" si="9"/>
        <v/>
      </c>
      <c r="BT14" s="67" t="str">
        <f t="shared" si="9"/>
        <v/>
      </c>
      <c r="BU14" s="67" t="str">
        <f t="shared" si="9"/>
        <v/>
      </c>
      <c r="BV14" s="67" t="str">
        <f t="shared" si="9"/>
        <v/>
      </c>
      <c r="BW14" s="67" t="str">
        <f t="shared" si="9"/>
        <v/>
      </c>
      <c r="BX14" s="67" t="str">
        <f t="shared" si="9"/>
        <v/>
      </c>
      <c r="BY14" s="67" t="str">
        <f t="shared" si="9"/>
        <v/>
      </c>
      <c r="BZ14" s="67" t="str">
        <f t="shared" si="9"/>
        <v/>
      </c>
      <c r="CA14" s="67" t="str">
        <f t="shared" si="9"/>
        <v/>
      </c>
      <c r="CB14" s="67" t="str">
        <f t="shared" si="9"/>
        <v/>
      </c>
      <c r="CC14" s="67" t="str">
        <f t="shared" si="9"/>
        <v/>
      </c>
      <c r="CD14" s="67" t="str">
        <f t="shared" si="9"/>
        <v/>
      </c>
      <c r="CE14" s="67" t="str">
        <f t="shared" si="9"/>
        <v/>
      </c>
      <c r="CF14" s="67" t="str">
        <f t="shared" si="9"/>
        <v/>
      </c>
      <c r="CG14" s="67" t="str">
        <f t="shared" si="9"/>
        <v/>
      </c>
      <c r="CH14" s="67" t="str">
        <f t="shared" si="9"/>
        <v/>
      </c>
      <c r="CI14" s="67" t="str">
        <f t="shared" si="9"/>
        <v/>
      </c>
      <c r="CJ14" s="67" t="str">
        <f t="shared" si="9"/>
        <v/>
      </c>
      <c r="CK14" s="67" t="str">
        <f t="shared" si="9"/>
        <v/>
      </c>
      <c r="CL14" s="67" t="str">
        <f t="shared" si="9"/>
        <v/>
      </c>
      <c r="CM14" s="67" t="str">
        <f t="shared" si="9"/>
        <v/>
      </c>
      <c r="CN14" s="67" t="str">
        <f t="shared" si="9"/>
        <v/>
      </c>
      <c r="CO14" s="15"/>
      <c r="CP14" s="15"/>
      <c r="CQ14" s="15"/>
      <c r="CR14" s="15"/>
      <c r="CS14" s="67" t="str">
        <f t="shared" ref="CS14:DR14" si="10">IF(AND($C14="Objetivo",CS$7&gt;=$D14,CS$7&lt;=$D14+$E14-1),2,IF(AND($C14="Hito",CS$7&gt;=$D14,CS$7&lt;=$D14+$E14-1),1,""))</f>
        <v/>
      </c>
      <c r="CT14" s="67" t="str">
        <f t="shared" si="10"/>
        <v/>
      </c>
      <c r="CU14" s="67" t="str">
        <f t="shared" si="10"/>
        <v/>
      </c>
      <c r="CV14" s="67" t="str">
        <f t="shared" si="10"/>
        <v/>
      </c>
      <c r="CW14" s="67" t="str">
        <f t="shared" si="10"/>
        <v/>
      </c>
      <c r="CX14" s="67" t="str">
        <f t="shared" si="10"/>
        <v/>
      </c>
      <c r="CY14" s="67" t="str">
        <f t="shared" si="10"/>
        <v/>
      </c>
      <c r="CZ14" s="67" t="str">
        <f t="shared" si="10"/>
        <v/>
      </c>
      <c r="DA14" s="67" t="str">
        <f t="shared" si="10"/>
        <v/>
      </c>
      <c r="DB14" s="67" t="str">
        <f t="shared" si="10"/>
        <v/>
      </c>
      <c r="DC14" s="67" t="str">
        <f t="shared" si="10"/>
        <v/>
      </c>
      <c r="DD14" s="67" t="str">
        <f t="shared" si="10"/>
        <v/>
      </c>
      <c r="DE14" s="67" t="str">
        <f t="shared" si="10"/>
        <v/>
      </c>
      <c r="DF14" s="67" t="str">
        <f t="shared" si="10"/>
        <v/>
      </c>
      <c r="DG14" s="67" t="str">
        <f t="shared" si="10"/>
        <v/>
      </c>
      <c r="DH14" s="67" t="str">
        <f t="shared" si="10"/>
        <v/>
      </c>
      <c r="DI14" s="67" t="str">
        <f t="shared" si="10"/>
        <v/>
      </c>
      <c r="DJ14" s="67" t="str">
        <f t="shared" si="10"/>
        <v/>
      </c>
      <c r="DK14" s="67" t="str">
        <f t="shared" si="10"/>
        <v/>
      </c>
      <c r="DL14" s="67" t="str">
        <f t="shared" si="10"/>
        <v/>
      </c>
      <c r="DM14" s="67" t="str">
        <f t="shared" si="10"/>
        <v/>
      </c>
      <c r="DN14" s="67" t="str">
        <f t="shared" si="10"/>
        <v/>
      </c>
      <c r="DO14" s="67" t="str">
        <f t="shared" si="10"/>
        <v/>
      </c>
      <c r="DP14" s="67" t="str">
        <f t="shared" si="10"/>
        <v/>
      </c>
      <c r="DQ14" s="72" t="str">
        <f t="shared" si="10"/>
        <v/>
      </c>
      <c r="DR14" s="73" t="str">
        <f t="shared" si="10"/>
        <v/>
      </c>
      <c r="DS14" s="15"/>
      <c r="DT14" s="15"/>
      <c r="DU14" s="15"/>
      <c r="DV14" s="76"/>
    </row>
    <row r="15" ht="39.75" customHeight="1">
      <c r="A15" s="4"/>
      <c r="B15" s="77"/>
      <c r="C15" s="67"/>
      <c r="D15" s="57"/>
      <c r="E15" s="58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</row>
    <row r="16" ht="30.0" customHeight="1">
      <c r="A16" s="1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</row>
    <row r="17" ht="30.0" customHeight="1">
      <c r="A17" s="1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</row>
    <row r="18" ht="30.0" customHeight="1">
      <c r="A18" s="1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</row>
    <row r="19" ht="30.0" customHeight="1">
      <c r="A19" s="1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</row>
    <row r="20" ht="30.0" customHeight="1">
      <c r="A20" s="1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</row>
    <row r="21" ht="30.0" customHeight="1">
      <c r="A21" s="1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</row>
    <row r="22" ht="30.0" customHeight="1">
      <c r="A22" s="1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</row>
    <row r="23" ht="30.0" customHeight="1">
      <c r="A23" s="1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</row>
    <row r="24" ht="30.0" customHeight="1">
      <c r="A24" s="1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</row>
    <row r="25" ht="30.0" customHeight="1">
      <c r="A25" s="1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</row>
    <row r="26" ht="30.0" customHeight="1">
      <c r="A26" s="1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</row>
    <row r="27" ht="30.0" customHeight="1">
      <c r="A27" s="1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</row>
    <row r="28" ht="30.0" customHeight="1">
      <c r="A28" s="1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</row>
    <row r="29" ht="30.0" customHeight="1">
      <c r="A29" s="1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</row>
    <row r="30" ht="30.0" customHeight="1">
      <c r="A30" s="1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</row>
    <row r="31" ht="30.0" customHeight="1">
      <c r="A31" s="1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</row>
    <row r="32" ht="30.0" customHeight="1">
      <c r="A32" s="1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</row>
    <row r="33" ht="30.0" customHeight="1">
      <c r="A33" s="1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</row>
    <row r="34" ht="30.0" customHeight="1">
      <c r="A34" s="1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</row>
    <row r="35" ht="30.0" customHeight="1">
      <c r="A35" s="1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</row>
    <row r="36" ht="30.0" customHeight="1">
      <c r="A36" s="1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</row>
    <row r="37" ht="30.0" customHeight="1">
      <c r="A37" s="1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</row>
    <row r="38" ht="30.0" customHeight="1">
      <c r="A38" s="1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</row>
    <row r="39" ht="30.0" customHeight="1">
      <c r="A39" s="1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</row>
    <row r="40" ht="30.0" customHeight="1">
      <c r="A40" s="1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</row>
    <row r="41" ht="30.0" customHeight="1">
      <c r="A41" s="1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</row>
    <row r="42" ht="30.0" customHeight="1">
      <c r="A42" s="1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</row>
    <row r="43" ht="30.0" customHeight="1">
      <c r="A43" s="1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</row>
    <row r="44" ht="30.0" customHeight="1">
      <c r="A44" s="1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</row>
    <row r="45" ht="30.0" customHeight="1">
      <c r="A45" s="1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</row>
    <row r="46" ht="30.0" customHeight="1">
      <c r="A46" s="1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</row>
    <row r="47" ht="30.0" customHeight="1">
      <c r="A47" s="1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</row>
    <row r="48" ht="30.0" customHeight="1">
      <c r="A48" s="1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</row>
    <row r="49" ht="30.0" customHeight="1">
      <c r="A49" s="1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</row>
    <row r="50" ht="30.0" customHeight="1">
      <c r="A50" s="1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</row>
    <row r="51" ht="30.0" customHeight="1">
      <c r="A51" s="1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</row>
    <row r="52" ht="30.0" customHeight="1">
      <c r="A52" s="1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</row>
    <row r="53" ht="30.0" customHeight="1">
      <c r="A53" s="1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</row>
    <row r="54" ht="30.0" customHeight="1">
      <c r="A54" s="1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</row>
    <row r="55" ht="30.0" customHeight="1">
      <c r="A55" s="1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</row>
    <row r="56" ht="30.0" customHeight="1">
      <c r="A56" s="1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</row>
    <row r="57" ht="30.0" customHeight="1">
      <c r="A57" s="1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</row>
    <row r="58" ht="30.0" customHeight="1">
      <c r="A58" s="1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</row>
    <row r="59" ht="30.0" customHeight="1">
      <c r="A59" s="1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</row>
    <row r="60" ht="30.0" customHeight="1">
      <c r="A60" s="1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</row>
    <row r="61" ht="30.0" customHeight="1">
      <c r="A61" s="1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</row>
    <row r="62" ht="30.0" customHeight="1">
      <c r="A62" s="1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</row>
    <row r="63" ht="30.0" customHeight="1">
      <c r="A63" s="1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</row>
    <row r="64" ht="30.0" customHeight="1">
      <c r="A64" s="1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</row>
    <row r="65" ht="30.0" customHeight="1">
      <c r="A65" s="1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</row>
    <row r="66" ht="30.0" customHeight="1">
      <c r="A66" s="1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</row>
    <row r="67" ht="30.0" customHeight="1">
      <c r="A67" s="1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</row>
    <row r="68" ht="30.0" customHeight="1">
      <c r="A68" s="1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</row>
    <row r="69" ht="30.0" customHeight="1">
      <c r="A69" s="1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</row>
    <row r="70" ht="30.0" customHeight="1">
      <c r="A70" s="1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</row>
    <row r="71" ht="30.0" customHeight="1">
      <c r="A71" s="1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</row>
    <row r="72" ht="30.0" customHeight="1">
      <c r="A72" s="1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</row>
    <row r="73" ht="30.0" customHeight="1">
      <c r="A73" s="1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</row>
    <row r="74" ht="30.0" customHeight="1">
      <c r="A74" s="1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</row>
    <row r="75" ht="30.0" customHeight="1">
      <c r="A75" s="1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</row>
    <row r="76" ht="30.0" customHeight="1">
      <c r="A76" s="1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</row>
    <row r="77" ht="30.0" customHeight="1">
      <c r="A77" s="1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</row>
    <row r="78" ht="30.0" customHeight="1">
      <c r="A78" s="1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</row>
    <row r="79" ht="30.0" customHeight="1">
      <c r="A79" s="1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</row>
    <row r="80" ht="30.0" customHeight="1">
      <c r="A80" s="1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</row>
    <row r="81" ht="30.0" customHeight="1">
      <c r="A81" s="1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</row>
    <row r="82" ht="30.0" customHeight="1">
      <c r="A82" s="1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</row>
    <row r="83" ht="30.0" customHeight="1">
      <c r="A83" s="1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</row>
    <row r="84" ht="30.0" customHeight="1">
      <c r="A84" s="1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</row>
    <row r="85" ht="30.0" customHeight="1">
      <c r="A85" s="1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</row>
    <row r="86" ht="30.0" customHeight="1">
      <c r="A86" s="1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</row>
    <row r="87" ht="30.0" customHeight="1">
      <c r="A87" s="1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</row>
    <row r="88" ht="30.0" customHeight="1">
      <c r="A88" s="1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</row>
    <row r="89" ht="30.0" customHeight="1">
      <c r="A89" s="1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</row>
    <row r="90" ht="30.0" customHeight="1">
      <c r="A90" s="1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</row>
    <row r="91" ht="30.0" customHeight="1">
      <c r="A91" s="1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</row>
    <row r="92" ht="30.0" customHeight="1">
      <c r="A92" s="1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</row>
    <row r="93" ht="30.0" customHeight="1">
      <c r="A93" s="1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</row>
    <row r="94" ht="30.0" customHeight="1">
      <c r="A94" s="1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</row>
    <row r="95" ht="30.0" customHeight="1">
      <c r="A95" s="1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</row>
    <row r="96" ht="30.0" customHeight="1">
      <c r="A96" s="1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</row>
    <row r="97" ht="30.0" customHeight="1">
      <c r="A97" s="1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</row>
    <row r="98" ht="30.0" customHeight="1">
      <c r="A98" s="1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</row>
    <row r="99" ht="30.0" customHeight="1">
      <c r="A99" s="1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</row>
    <row r="100" ht="30.0" customHeight="1">
      <c r="A100" s="1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</row>
    <row r="101" ht="30.0" customHeight="1">
      <c r="A101" s="1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</row>
    <row r="102" ht="30.0" customHeight="1">
      <c r="A102" s="1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</row>
    <row r="103" ht="30.0" customHeight="1">
      <c r="A103" s="1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</row>
    <row r="104" ht="30.0" customHeight="1">
      <c r="A104" s="1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</row>
    <row r="105" ht="30.0" customHeight="1">
      <c r="A105" s="1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</row>
    <row r="106" ht="30.0" customHeight="1">
      <c r="A106" s="1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</row>
    <row r="107" ht="30.0" customHeight="1">
      <c r="A107" s="1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</row>
    <row r="108" ht="30.0" customHeight="1">
      <c r="A108" s="1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</row>
    <row r="109" ht="30.0" customHeight="1">
      <c r="A109" s="1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</row>
    <row r="110" ht="30.0" customHeight="1">
      <c r="A110" s="1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</row>
    <row r="111" ht="30.0" customHeight="1">
      <c r="A111" s="1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</row>
    <row r="112" ht="30.0" customHeight="1">
      <c r="A112" s="1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</row>
    <row r="113" ht="30.0" customHeight="1">
      <c r="A113" s="1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</row>
    <row r="114" ht="30.0" customHeight="1">
      <c r="A114" s="1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</row>
    <row r="115" ht="30.0" customHeight="1">
      <c r="A115" s="1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</row>
    <row r="116" ht="30.0" customHeight="1">
      <c r="A116" s="1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</row>
    <row r="117" ht="30.0" customHeight="1">
      <c r="A117" s="1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</row>
    <row r="118" ht="30.0" customHeight="1">
      <c r="A118" s="1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</row>
    <row r="119" ht="30.0" customHeight="1">
      <c r="A119" s="1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</row>
    <row r="120" ht="30.0" customHeight="1">
      <c r="A120" s="1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</row>
    <row r="121" ht="30.0" customHeight="1">
      <c r="A121" s="1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</row>
    <row r="122" ht="30.0" customHeight="1">
      <c r="A122" s="1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</row>
    <row r="123" ht="30.0" customHeight="1">
      <c r="A123" s="1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</row>
    <row r="124" ht="30.0" customHeight="1">
      <c r="A124" s="1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</row>
    <row r="125" ht="30.0" customHeight="1">
      <c r="A125" s="1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</row>
    <row r="126" ht="30.0" customHeight="1">
      <c r="A126" s="1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</row>
    <row r="127" ht="30.0" customHeight="1">
      <c r="A127" s="1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</row>
    <row r="128" ht="30.0" customHeight="1">
      <c r="A128" s="1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</row>
    <row r="129" ht="30.0" customHeight="1">
      <c r="A129" s="1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</row>
    <row r="130" ht="30.0" customHeight="1">
      <c r="A130" s="1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</row>
    <row r="131" ht="30.0" customHeight="1">
      <c r="A131" s="1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</row>
    <row r="132" ht="30.0" customHeight="1">
      <c r="A132" s="1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</row>
    <row r="133" ht="30.0" customHeight="1">
      <c r="A133" s="1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</row>
    <row r="134" ht="30.0" customHeight="1">
      <c r="A134" s="1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</row>
    <row r="135" ht="30.0" customHeight="1">
      <c r="A135" s="1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</row>
    <row r="136" ht="30.0" customHeight="1">
      <c r="A136" s="1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</row>
    <row r="137" ht="30.0" customHeight="1">
      <c r="A137" s="1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</row>
    <row r="138" ht="30.0" customHeight="1">
      <c r="A138" s="1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</row>
    <row r="139" ht="30.0" customHeight="1">
      <c r="A139" s="1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</row>
    <row r="140" ht="30.0" customHeight="1">
      <c r="A140" s="1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</row>
    <row r="141" ht="30.0" customHeight="1">
      <c r="A141" s="1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</row>
    <row r="142" ht="30.0" customHeight="1">
      <c r="A142" s="1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</row>
    <row r="143" ht="30.0" customHeight="1">
      <c r="A143" s="1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</row>
    <row r="144" ht="30.0" customHeight="1">
      <c r="A144" s="1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</row>
    <row r="145" ht="30.0" customHeight="1">
      <c r="A145" s="1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</row>
    <row r="146" ht="30.0" customHeight="1">
      <c r="A146" s="1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</row>
    <row r="147" ht="30.0" customHeight="1">
      <c r="A147" s="1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</row>
    <row r="148" ht="30.0" customHeight="1">
      <c r="A148" s="1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</row>
    <row r="149" ht="30.0" customHeight="1">
      <c r="A149" s="1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</row>
    <row r="150" ht="30.0" customHeight="1">
      <c r="A150" s="1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</row>
    <row r="151" ht="30.0" customHeight="1">
      <c r="A151" s="1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</row>
    <row r="152" ht="30.0" customHeight="1">
      <c r="A152" s="1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</row>
    <row r="153" ht="30.0" customHeight="1">
      <c r="A153" s="1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</row>
    <row r="154" ht="30.0" customHeight="1">
      <c r="A154" s="1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</row>
    <row r="155" ht="30.0" customHeight="1">
      <c r="A155" s="1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</row>
    <row r="156" ht="30.0" customHeight="1">
      <c r="A156" s="1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</row>
    <row r="157" ht="30.0" customHeight="1">
      <c r="A157" s="1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</row>
    <row r="158" ht="30.0" customHeight="1">
      <c r="A158" s="1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</row>
    <row r="159" ht="30.0" customHeight="1">
      <c r="A159" s="1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</row>
    <row r="160" ht="30.0" customHeight="1">
      <c r="A160" s="1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</row>
    <row r="161" ht="30.0" customHeight="1">
      <c r="A161" s="1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</row>
    <row r="162" ht="30.0" customHeight="1">
      <c r="A162" s="1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</row>
    <row r="163" ht="30.0" customHeight="1">
      <c r="A163" s="1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</row>
    <row r="164" ht="30.0" customHeight="1">
      <c r="A164" s="1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</row>
    <row r="165" ht="30.0" customHeight="1">
      <c r="A165" s="1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</row>
    <row r="166" ht="30.0" customHeight="1">
      <c r="A166" s="1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</row>
    <row r="167" ht="30.0" customHeight="1">
      <c r="A167" s="1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</row>
    <row r="168" ht="30.0" customHeight="1">
      <c r="A168" s="1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</row>
    <row r="169" ht="30.0" customHeight="1">
      <c r="A169" s="1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</row>
    <row r="170" ht="30.0" customHeight="1">
      <c r="A170" s="1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</row>
    <row r="171" ht="30.0" customHeight="1">
      <c r="A171" s="1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</row>
    <row r="172" ht="30.0" customHeight="1">
      <c r="A172" s="1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</row>
    <row r="173" ht="30.0" customHeight="1">
      <c r="A173" s="1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</row>
    <row r="174" ht="30.0" customHeight="1">
      <c r="A174" s="1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</row>
    <row r="175" ht="30.0" customHeight="1">
      <c r="A175" s="1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</row>
    <row r="176" ht="30.0" customHeight="1">
      <c r="A176" s="1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</row>
    <row r="177" ht="30.0" customHeight="1">
      <c r="A177" s="1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</row>
    <row r="178" ht="30.0" customHeight="1">
      <c r="A178" s="1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</row>
    <row r="179" ht="30.0" customHeight="1">
      <c r="A179" s="1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</row>
    <row r="180" ht="30.0" customHeight="1">
      <c r="A180" s="1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</row>
    <row r="181" ht="30.0" customHeight="1">
      <c r="A181" s="1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</row>
    <row r="182" ht="30.0" customHeight="1">
      <c r="A182" s="1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</row>
    <row r="183" ht="30.0" customHeight="1">
      <c r="A183" s="1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</row>
    <row r="184" ht="30.0" customHeight="1">
      <c r="A184" s="1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</row>
    <row r="185" ht="30.0" customHeight="1">
      <c r="A185" s="1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</row>
    <row r="186" ht="30.0" customHeight="1">
      <c r="A186" s="1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</row>
    <row r="187" ht="30.0" customHeight="1">
      <c r="A187" s="1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</row>
    <row r="188" ht="30.0" customHeight="1">
      <c r="A188" s="1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</row>
    <row r="189" ht="30.0" customHeight="1">
      <c r="A189" s="1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</row>
    <row r="190" ht="30.0" customHeight="1">
      <c r="A190" s="1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</row>
    <row r="191" ht="30.0" customHeight="1">
      <c r="A191" s="1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</row>
    <row r="192" ht="30.0" customHeight="1">
      <c r="A192" s="1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</row>
    <row r="193" ht="30.0" customHeight="1">
      <c r="A193" s="1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</row>
    <row r="194" ht="30.0" customHeight="1">
      <c r="A194" s="1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</row>
    <row r="195" ht="30.0" customHeight="1">
      <c r="A195" s="1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</row>
    <row r="196" ht="30.0" customHeight="1">
      <c r="A196" s="1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</row>
    <row r="197" ht="30.0" customHeight="1">
      <c r="A197" s="1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</row>
    <row r="198" ht="30.0" customHeight="1">
      <c r="A198" s="1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</row>
    <row r="199" ht="30.0" customHeight="1">
      <c r="A199" s="1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</row>
    <row r="200" ht="30.0" customHeight="1">
      <c r="A200" s="1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</row>
    <row r="201" ht="30.0" customHeight="1">
      <c r="A201" s="1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</row>
    <row r="202" ht="30.0" customHeight="1">
      <c r="A202" s="1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</row>
    <row r="203" ht="30.0" customHeight="1">
      <c r="A203" s="1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</row>
    <row r="204" ht="30.0" customHeight="1">
      <c r="A204" s="1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</row>
    <row r="205" ht="30.0" customHeight="1">
      <c r="A205" s="1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</row>
    <row r="206" ht="30.0" customHeight="1">
      <c r="A206" s="1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</row>
    <row r="207" ht="30.0" customHeight="1">
      <c r="A207" s="1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</row>
    <row r="208" ht="30.0" customHeight="1">
      <c r="A208" s="1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</row>
    <row r="209" ht="30.0" customHeight="1">
      <c r="A209" s="1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</row>
    <row r="210" ht="30.0" customHeight="1">
      <c r="A210" s="1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</row>
    <row r="211" ht="30.0" customHeight="1">
      <c r="A211" s="1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</row>
    <row r="212" ht="30.0" customHeight="1">
      <c r="A212" s="1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</row>
    <row r="213" ht="30.0" customHeight="1">
      <c r="A213" s="1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</row>
    <row r="214" ht="30.0" customHeight="1">
      <c r="A214" s="1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</row>
    <row r="215" ht="30.0" customHeight="1">
      <c r="A215" s="1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</row>
    <row r="216" ht="30.0" customHeight="1">
      <c r="A216" s="1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</row>
    <row r="217" ht="30.0" customHeight="1">
      <c r="A217" s="1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</row>
    <row r="218" ht="30.0" customHeight="1">
      <c r="A218" s="1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</row>
    <row r="219" ht="30.0" customHeight="1">
      <c r="A219" s="1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</row>
    <row r="220" ht="30.0" customHeight="1">
      <c r="A220" s="1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</row>
    <row r="221" ht="30.0" customHeight="1">
      <c r="A221" s="1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</row>
    <row r="222" ht="30.0" customHeight="1">
      <c r="A222" s="1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</row>
    <row r="223" ht="30.0" customHeight="1">
      <c r="A223" s="1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</row>
    <row r="224" ht="30.0" customHeight="1">
      <c r="A224" s="1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</row>
    <row r="225" ht="30.0" customHeight="1">
      <c r="A225" s="1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</row>
    <row r="226" ht="30.0" customHeight="1">
      <c r="A226" s="1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</row>
    <row r="227" ht="30.0" customHeight="1">
      <c r="A227" s="1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</row>
    <row r="228" ht="30.0" customHeight="1">
      <c r="A228" s="1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</row>
    <row r="229" ht="30.0" customHeight="1">
      <c r="A229" s="1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</row>
    <row r="230" ht="30.0" customHeight="1">
      <c r="A230" s="1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</row>
    <row r="231" ht="30.0" customHeight="1">
      <c r="A231" s="1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</row>
    <row r="232" ht="30.0" customHeight="1">
      <c r="A232" s="1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</row>
    <row r="233" ht="30.0" customHeight="1">
      <c r="A233" s="1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</row>
    <row r="234" ht="30.0" customHeight="1">
      <c r="A234" s="1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</row>
    <row r="235" ht="30.0" customHeight="1">
      <c r="A235" s="1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</row>
    <row r="236" ht="30.0" customHeight="1">
      <c r="A236" s="1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</row>
    <row r="237" ht="30.0" customHeight="1">
      <c r="A237" s="1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</row>
    <row r="238" ht="30.0" customHeight="1">
      <c r="A238" s="1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</row>
    <row r="239" ht="30.0" customHeight="1">
      <c r="A239" s="1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</row>
    <row r="240" ht="30.0" customHeight="1">
      <c r="A240" s="1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</row>
    <row r="241" ht="30.0" customHeight="1">
      <c r="A241" s="1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</row>
    <row r="242" ht="30.0" customHeight="1">
      <c r="A242" s="1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</row>
    <row r="243" ht="30.0" customHeight="1">
      <c r="A243" s="1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</row>
    <row r="244" ht="30.0" customHeight="1">
      <c r="A244" s="1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</row>
    <row r="245" ht="30.0" customHeight="1">
      <c r="A245" s="1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</row>
    <row r="246" ht="30.0" customHeight="1">
      <c r="A246" s="1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</row>
    <row r="247" ht="30.0" customHeight="1">
      <c r="A247" s="1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</row>
    <row r="248" ht="30.0" customHeight="1">
      <c r="A248" s="1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</row>
    <row r="249" ht="30.0" customHeight="1">
      <c r="A249" s="1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</row>
    <row r="250" ht="30.0" customHeight="1">
      <c r="A250" s="1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</row>
    <row r="251" ht="30.0" customHeight="1">
      <c r="A251" s="1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</row>
    <row r="252" ht="30.0" customHeight="1">
      <c r="A252" s="1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</row>
    <row r="253" ht="30.0" customHeight="1">
      <c r="A253" s="1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</row>
    <row r="254" ht="30.0" customHeight="1">
      <c r="A254" s="1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</row>
    <row r="255" ht="30.0" customHeight="1">
      <c r="A255" s="1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</row>
    <row r="256" ht="30.0" customHeight="1">
      <c r="A256" s="1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</row>
    <row r="257" ht="30.0" customHeight="1">
      <c r="A257" s="1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</row>
    <row r="258" ht="30.0" customHeight="1">
      <c r="A258" s="1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</row>
    <row r="259" ht="30.0" customHeight="1">
      <c r="A259" s="1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</row>
    <row r="260" ht="30.0" customHeight="1">
      <c r="A260" s="1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</row>
    <row r="261" ht="30.0" customHeight="1">
      <c r="A261" s="1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</row>
    <row r="262" ht="30.0" customHeight="1">
      <c r="A262" s="1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</row>
    <row r="263" ht="30.0" customHeight="1">
      <c r="A263" s="1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</row>
    <row r="264" ht="30.0" customHeight="1">
      <c r="A264" s="1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</row>
    <row r="265" ht="30.0" customHeight="1">
      <c r="A265" s="1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</row>
    <row r="266" ht="30.0" customHeight="1">
      <c r="A266" s="1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</row>
    <row r="267" ht="30.0" customHeight="1">
      <c r="A267" s="1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</row>
    <row r="268" ht="30.0" customHeight="1">
      <c r="A268" s="1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</row>
    <row r="269" ht="30.0" customHeight="1">
      <c r="A269" s="1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</row>
    <row r="270" ht="30.0" customHeight="1">
      <c r="A270" s="1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</row>
    <row r="271" ht="30.0" customHeight="1">
      <c r="A271" s="1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</row>
    <row r="272" ht="30.0" customHeight="1">
      <c r="A272" s="1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</row>
    <row r="273" ht="30.0" customHeight="1">
      <c r="A273" s="1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</row>
    <row r="274" ht="30.0" customHeight="1">
      <c r="A274" s="1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</row>
    <row r="275" ht="30.0" customHeight="1">
      <c r="A275" s="1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</row>
    <row r="276" ht="30.0" customHeight="1">
      <c r="A276" s="1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</row>
    <row r="277" ht="30.0" customHeight="1">
      <c r="A277" s="1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</row>
    <row r="278" ht="30.0" customHeight="1">
      <c r="A278" s="1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</row>
    <row r="279" ht="30.0" customHeight="1">
      <c r="A279" s="1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</row>
    <row r="280" ht="30.0" customHeight="1">
      <c r="A280" s="1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</row>
    <row r="281" ht="30.0" customHeight="1">
      <c r="A281" s="1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</row>
    <row r="282" ht="30.0" customHeight="1">
      <c r="A282" s="1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</row>
    <row r="283" ht="30.0" customHeight="1">
      <c r="A283" s="1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</row>
    <row r="284" ht="30.0" customHeight="1">
      <c r="A284" s="1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</row>
    <row r="285" ht="30.0" customHeight="1">
      <c r="A285" s="1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</row>
    <row r="286" ht="30.0" customHeight="1">
      <c r="A286" s="1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</row>
    <row r="287" ht="30.0" customHeight="1">
      <c r="A287" s="1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</row>
    <row r="288" ht="30.0" customHeight="1">
      <c r="A288" s="1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</row>
    <row r="289" ht="30.0" customHeight="1">
      <c r="A289" s="1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</row>
    <row r="290" ht="30.0" customHeight="1">
      <c r="A290" s="1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</row>
    <row r="291" ht="30.0" customHeight="1">
      <c r="A291" s="1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</row>
    <row r="292" ht="30.0" customHeight="1">
      <c r="A292" s="1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</row>
    <row r="293" ht="30.0" customHeight="1">
      <c r="A293" s="1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</row>
    <row r="294" ht="30.0" customHeight="1">
      <c r="A294" s="1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</row>
    <row r="295" ht="30.0" customHeight="1">
      <c r="A295" s="1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</row>
    <row r="296" ht="30.0" customHeight="1">
      <c r="A296" s="1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</row>
    <row r="297" ht="30.0" customHeight="1">
      <c r="A297" s="1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</row>
    <row r="298" ht="30.0" customHeight="1">
      <c r="A298" s="1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</row>
    <row r="299" ht="30.0" customHeight="1">
      <c r="A299" s="1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</row>
    <row r="300" ht="30.0" customHeight="1">
      <c r="A300" s="1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</row>
    <row r="301" ht="30.0" customHeight="1">
      <c r="A301" s="1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</row>
    <row r="302" ht="30.0" customHeight="1">
      <c r="A302" s="1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</row>
    <row r="303" ht="30.0" customHeight="1">
      <c r="A303" s="1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</row>
    <row r="304" ht="30.0" customHeight="1">
      <c r="A304" s="1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</row>
    <row r="305" ht="30.0" customHeight="1">
      <c r="A305" s="1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</row>
    <row r="306" ht="30.0" customHeight="1">
      <c r="A306" s="1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</row>
    <row r="307" ht="30.0" customHeight="1">
      <c r="A307" s="1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</row>
    <row r="308" ht="30.0" customHeight="1">
      <c r="A308" s="1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</row>
    <row r="309" ht="30.0" customHeight="1">
      <c r="A309" s="1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</row>
    <row r="310" ht="30.0" customHeight="1">
      <c r="A310" s="1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</row>
    <row r="311" ht="30.0" customHeight="1">
      <c r="A311" s="1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</row>
    <row r="312" ht="30.0" customHeight="1">
      <c r="A312" s="1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</row>
    <row r="313" ht="30.0" customHeight="1">
      <c r="A313" s="1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</row>
    <row r="314" ht="30.0" customHeight="1">
      <c r="A314" s="1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</row>
    <row r="315" ht="30.0" customHeight="1">
      <c r="A315" s="1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</row>
    <row r="316" ht="30.0" customHeight="1">
      <c r="A316" s="1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</row>
    <row r="317" ht="30.0" customHeight="1">
      <c r="A317" s="1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</row>
    <row r="318" ht="30.0" customHeight="1">
      <c r="A318" s="1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</row>
    <row r="319" ht="30.0" customHeight="1">
      <c r="A319" s="1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</row>
    <row r="320" ht="30.0" customHeight="1">
      <c r="A320" s="1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</row>
    <row r="321" ht="30.0" customHeight="1">
      <c r="A321" s="1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</row>
    <row r="322" ht="30.0" customHeight="1">
      <c r="A322" s="1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</row>
    <row r="323" ht="30.0" customHeight="1">
      <c r="A323" s="1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</row>
    <row r="324" ht="30.0" customHeight="1">
      <c r="A324" s="1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</row>
    <row r="325" ht="30.0" customHeight="1">
      <c r="A325" s="1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</row>
    <row r="326" ht="30.0" customHeight="1">
      <c r="A326" s="1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</row>
    <row r="327" ht="30.0" customHeight="1">
      <c r="A327" s="1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</row>
    <row r="328" ht="30.0" customHeight="1">
      <c r="A328" s="1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</row>
    <row r="329" ht="30.0" customHeight="1">
      <c r="A329" s="1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</row>
    <row r="330" ht="30.0" customHeight="1">
      <c r="A330" s="1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</row>
    <row r="331" ht="30.0" customHeight="1">
      <c r="A331" s="1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</row>
    <row r="332" ht="30.0" customHeight="1">
      <c r="A332" s="1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</row>
    <row r="333" ht="30.0" customHeight="1">
      <c r="A333" s="1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</row>
    <row r="334" ht="30.0" customHeight="1">
      <c r="A334" s="1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</row>
    <row r="335" ht="30.0" customHeight="1">
      <c r="A335" s="1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</row>
    <row r="336" ht="30.0" customHeight="1">
      <c r="A336" s="1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</row>
    <row r="337" ht="30.0" customHeight="1">
      <c r="A337" s="1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</row>
    <row r="338" ht="30.0" customHeight="1">
      <c r="A338" s="1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</row>
    <row r="339" ht="30.0" customHeight="1">
      <c r="A339" s="1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</row>
    <row r="340" ht="30.0" customHeight="1">
      <c r="A340" s="1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</row>
    <row r="341" ht="30.0" customHeight="1">
      <c r="A341" s="1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</row>
    <row r="342" ht="30.0" customHeight="1">
      <c r="A342" s="1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</row>
    <row r="343" ht="30.0" customHeight="1">
      <c r="A343" s="1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</row>
    <row r="344" ht="30.0" customHeight="1">
      <c r="A344" s="1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</row>
    <row r="345" ht="30.0" customHeight="1">
      <c r="A345" s="1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</row>
    <row r="346" ht="30.0" customHeight="1">
      <c r="A346" s="1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</row>
    <row r="347" ht="30.0" customHeight="1">
      <c r="A347" s="1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</row>
    <row r="348" ht="30.0" customHeight="1">
      <c r="A348" s="1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</row>
    <row r="349" ht="30.0" customHeight="1">
      <c r="A349" s="1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</row>
    <row r="350" ht="30.0" customHeight="1">
      <c r="A350" s="1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</row>
    <row r="351" ht="30.0" customHeight="1">
      <c r="A351" s="1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</row>
    <row r="352" ht="30.0" customHeight="1">
      <c r="A352" s="1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</row>
    <row r="353" ht="30.0" customHeight="1">
      <c r="A353" s="1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</row>
    <row r="354" ht="30.0" customHeight="1">
      <c r="A354" s="1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</row>
    <row r="355" ht="30.0" customHeight="1">
      <c r="A355" s="1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</row>
    <row r="356" ht="30.0" customHeight="1">
      <c r="A356" s="1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</row>
    <row r="357" ht="30.0" customHeight="1">
      <c r="A357" s="1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</row>
    <row r="358" ht="30.0" customHeight="1">
      <c r="A358" s="1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</row>
    <row r="359" ht="30.0" customHeight="1">
      <c r="A359" s="1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</row>
    <row r="360" ht="30.0" customHeight="1">
      <c r="A360" s="1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</row>
    <row r="361" ht="30.0" customHeight="1">
      <c r="A361" s="1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</row>
    <row r="362" ht="30.0" customHeight="1">
      <c r="A362" s="1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</row>
    <row r="363" ht="30.0" customHeight="1">
      <c r="A363" s="1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</row>
    <row r="364" ht="30.0" customHeight="1">
      <c r="A364" s="1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</row>
    <row r="365" ht="30.0" customHeight="1">
      <c r="A365" s="1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</row>
    <row r="366" ht="30.0" customHeight="1">
      <c r="A366" s="1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</row>
    <row r="367" ht="30.0" customHeight="1">
      <c r="A367" s="1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</row>
    <row r="368" ht="30.0" customHeight="1">
      <c r="A368" s="1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</row>
    <row r="369" ht="30.0" customHeight="1">
      <c r="A369" s="1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</row>
    <row r="370" ht="30.0" customHeight="1">
      <c r="A370" s="1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</row>
    <row r="371" ht="30.0" customHeight="1">
      <c r="A371" s="1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</row>
    <row r="372" ht="30.0" customHeight="1">
      <c r="A372" s="1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</row>
    <row r="373" ht="30.0" customHeight="1">
      <c r="A373" s="1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</row>
    <row r="374" ht="30.0" customHeight="1">
      <c r="A374" s="1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</row>
    <row r="375" ht="30.0" customHeight="1">
      <c r="A375" s="1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</row>
    <row r="376" ht="30.0" customHeight="1">
      <c r="A376" s="1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</row>
    <row r="377" ht="30.0" customHeight="1">
      <c r="A377" s="1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</row>
    <row r="378" ht="30.0" customHeight="1">
      <c r="A378" s="1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</row>
    <row r="379" ht="30.0" customHeight="1">
      <c r="A379" s="1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</row>
    <row r="380" ht="30.0" customHeight="1">
      <c r="A380" s="1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</row>
    <row r="381" ht="30.0" customHeight="1">
      <c r="A381" s="1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</row>
    <row r="382" ht="30.0" customHeight="1">
      <c r="A382" s="1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</row>
    <row r="383" ht="30.0" customHeight="1">
      <c r="A383" s="1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</row>
    <row r="384" ht="30.0" customHeight="1">
      <c r="A384" s="1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</row>
    <row r="385" ht="30.0" customHeight="1">
      <c r="A385" s="1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</row>
    <row r="386" ht="30.0" customHeight="1">
      <c r="A386" s="1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</row>
    <row r="387" ht="30.0" customHeight="1">
      <c r="A387" s="1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</row>
    <row r="388" ht="30.0" customHeight="1">
      <c r="A388" s="1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</row>
    <row r="389" ht="30.0" customHeight="1">
      <c r="A389" s="1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</row>
    <row r="390" ht="30.0" customHeight="1">
      <c r="A390" s="1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</row>
    <row r="391" ht="30.0" customHeight="1">
      <c r="A391" s="1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</row>
    <row r="392" ht="30.0" customHeight="1">
      <c r="A392" s="1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</row>
    <row r="393" ht="30.0" customHeight="1">
      <c r="A393" s="1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</row>
    <row r="394" ht="30.0" customHeight="1">
      <c r="A394" s="1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</row>
    <row r="395" ht="30.0" customHeight="1">
      <c r="A395" s="1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</row>
    <row r="396" ht="30.0" customHeight="1">
      <c r="A396" s="1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</row>
    <row r="397" ht="30.0" customHeight="1">
      <c r="A397" s="1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</row>
    <row r="398" ht="30.0" customHeight="1">
      <c r="A398" s="1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</row>
    <row r="399" ht="30.0" customHeight="1">
      <c r="A399" s="1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</row>
    <row r="400" ht="30.0" customHeight="1">
      <c r="A400" s="1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</row>
    <row r="401" ht="30.0" customHeight="1">
      <c r="A401" s="1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</row>
    <row r="402" ht="30.0" customHeight="1">
      <c r="A402" s="1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</row>
    <row r="403" ht="30.0" customHeight="1">
      <c r="A403" s="1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</row>
    <row r="404" ht="30.0" customHeight="1">
      <c r="A404" s="1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</row>
    <row r="405" ht="30.0" customHeight="1">
      <c r="A405" s="1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</row>
    <row r="406" ht="30.0" customHeight="1">
      <c r="A406" s="1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</row>
    <row r="407" ht="30.0" customHeight="1">
      <c r="A407" s="1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</row>
    <row r="408" ht="30.0" customHeight="1">
      <c r="A408" s="1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</row>
    <row r="409" ht="30.0" customHeight="1">
      <c r="A409" s="1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</row>
    <row r="410" ht="30.0" customHeight="1">
      <c r="A410" s="1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</row>
    <row r="411" ht="30.0" customHeight="1">
      <c r="A411" s="1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</row>
    <row r="412" ht="30.0" customHeight="1">
      <c r="A412" s="1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</row>
    <row r="413" ht="30.0" customHeight="1">
      <c r="A413" s="1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</row>
    <row r="414" ht="30.0" customHeight="1">
      <c r="A414" s="1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</row>
    <row r="415" ht="30.0" customHeight="1">
      <c r="A415" s="1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</row>
    <row r="416" ht="30.0" customHeight="1">
      <c r="A416" s="1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</row>
    <row r="417" ht="30.0" customHeight="1">
      <c r="A417" s="1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</row>
    <row r="418" ht="30.0" customHeight="1">
      <c r="A418" s="1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</row>
    <row r="419" ht="30.0" customHeight="1">
      <c r="A419" s="1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</row>
    <row r="420" ht="30.0" customHeight="1">
      <c r="A420" s="1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</row>
    <row r="421" ht="30.0" customHeight="1">
      <c r="A421" s="1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</row>
    <row r="422" ht="30.0" customHeight="1">
      <c r="A422" s="1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</row>
    <row r="423" ht="30.0" customHeight="1">
      <c r="A423" s="1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</row>
    <row r="424" ht="30.0" customHeight="1">
      <c r="A424" s="1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</row>
    <row r="425" ht="30.0" customHeight="1">
      <c r="A425" s="1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</row>
    <row r="426" ht="30.0" customHeight="1">
      <c r="A426" s="1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</row>
    <row r="427" ht="30.0" customHeight="1">
      <c r="A427" s="1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</row>
    <row r="428" ht="30.0" customHeight="1">
      <c r="A428" s="1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</row>
    <row r="429" ht="30.0" customHeight="1">
      <c r="A429" s="1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</row>
    <row r="430" ht="30.0" customHeight="1">
      <c r="A430" s="1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</row>
    <row r="431" ht="30.0" customHeight="1">
      <c r="A431" s="1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</row>
    <row r="432" ht="30.0" customHeight="1">
      <c r="A432" s="1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</row>
    <row r="433" ht="30.0" customHeight="1">
      <c r="A433" s="1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</row>
    <row r="434" ht="30.0" customHeight="1">
      <c r="A434" s="1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</row>
    <row r="435" ht="30.0" customHeight="1">
      <c r="A435" s="1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</row>
    <row r="436" ht="30.0" customHeight="1">
      <c r="A436" s="1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</row>
    <row r="437" ht="30.0" customHeight="1">
      <c r="A437" s="1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</row>
    <row r="438" ht="30.0" customHeight="1">
      <c r="A438" s="1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</row>
    <row r="439" ht="30.0" customHeight="1">
      <c r="A439" s="1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</row>
    <row r="440" ht="30.0" customHeight="1">
      <c r="A440" s="1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</row>
    <row r="441" ht="30.0" customHeight="1">
      <c r="A441" s="1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</row>
    <row r="442" ht="30.0" customHeight="1">
      <c r="A442" s="1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</row>
    <row r="443" ht="30.0" customHeight="1">
      <c r="A443" s="1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</row>
    <row r="444" ht="30.0" customHeight="1">
      <c r="A444" s="1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</row>
    <row r="445" ht="30.0" customHeight="1">
      <c r="A445" s="1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</row>
    <row r="446" ht="30.0" customHeight="1">
      <c r="A446" s="1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</row>
    <row r="447" ht="30.0" customHeight="1">
      <c r="A447" s="1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</row>
    <row r="448" ht="30.0" customHeight="1">
      <c r="A448" s="1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</row>
    <row r="449" ht="30.0" customHeight="1">
      <c r="A449" s="1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</row>
    <row r="450" ht="30.0" customHeight="1">
      <c r="A450" s="1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</row>
    <row r="451" ht="30.0" customHeight="1">
      <c r="A451" s="1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</row>
    <row r="452" ht="30.0" customHeight="1">
      <c r="A452" s="1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</row>
    <row r="453" ht="30.0" customHeight="1">
      <c r="A453" s="1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</row>
    <row r="454" ht="30.0" customHeight="1">
      <c r="A454" s="1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</row>
    <row r="455" ht="30.0" customHeight="1">
      <c r="A455" s="1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</row>
    <row r="456" ht="30.0" customHeight="1">
      <c r="A456" s="1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</row>
    <row r="457" ht="30.0" customHeight="1">
      <c r="A457" s="1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</row>
    <row r="458" ht="30.0" customHeight="1">
      <c r="A458" s="1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</row>
    <row r="459" ht="30.0" customHeight="1">
      <c r="A459" s="1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</row>
    <row r="460" ht="30.0" customHeight="1">
      <c r="A460" s="1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</row>
    <row r="461" ht="30.0" customHeight="1">
      <c r="A461" s="1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</row>
    <row r="462" ht="30.0" customHeight="1">
      <c r="A462" s="1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</row>
    <row r="463" ht="30.0" customHeight="1">
      <c r="A463" s="1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</row>
    <row r="464" ht="30.0" customHeight="1">
      <c r="A464" s="1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</row>
    <row r="465" ht="30.0" customHeight="1">
      <c r="A465" s="1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</row>
    <row r="466" ht="30.0" customHeight="1">
      <c r="A466" s="1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</row>
    <row r="467" ht="30.0" customHeight="1">
      <c r="A467" s="1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</row>
    <row r="468" ht="30.0" customHeight="1">
      <c r="A468" s="1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</row>
    <row r="469" ht="30.0" customHeight="1">
      <c r="A469" s="1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</row>
    <row r="470" ht="30.0" customHeight="1">
      <c r="A470" s="1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</row>
    <row r="471" ht="30.0" customHeight="1">
      <c r="A471" s="1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</row>
    <row r="472" ht="30.0" customHeight="1">
      <c r="A472" s="1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</row>
    <row r="473" ht="30.0" customHeight="1">
      <c r="A473" s="1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</row>
    <row r="474" ht="30.0" customHeight="1">
      <c r="A474" s="1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</row>
    <row r="475" ht="30.0" customHeight="1">
      <c r="A475" s="1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</row>
    <row r="476" ht="30.0" customHeight="1">
      <c r="A476" s="1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</row>
    <row r="477" ht="30.0" customHeight="1">
      <c r="A477" s="1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</row>
    <row r="478" ht="30.0" customHeight="1">
      <c r="A478" s="1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</row>
    <row r="479" ht="30.0" customHeight="1">
      <c r="A479" s="1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</row>
    <row r="480" ht="30.0" customHeight="1">
      <c r="A480" s="1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</row>
    <row r="481" ht="30.0" customHeight="1">
      <c r="A481" s="1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</row>
    <row r="482" ht="30.0" customHeight="1">
      <c r="A482" s="1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</row>
    <row r="483" ht="30.0" customHeight="1">
      <c r="A483" s="1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</row>
    <row r="484" ht="30.0" customHeight="1">
      <c r="A484" s="1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</row>
    <row r="485" ht="30.0" customHeight="1">
      <c r="A485" s="1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</row>
    <row r="486" ht="30.0" customHeight="1">
      <c r="A486" s="1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</row>
    <row r="487" ht="30.0" customHeight="1">
      <c r="A487" s="1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</row>
    <row r="488" ht="30.0" customHeight="1">
      <c r="A488" s="1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</row>
    <row r="489" ht="30.0" customHeight="1">
      <c r="A489" s="1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</row>
    <row r="490" ht="30.0" customHeight="1">
      <c r="A490" s="1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</row>
    <row r="491" ht="30.0" customHeight="1">
      <c r="A491" s="1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</row>
    <row r="492" ht="30.0" customHeight="1">
      <c r="A492" s="1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</row>
    <row r="493" ht="30.0" customHeight="1">
      <c r="A493" s="1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</row>
    <row r="494" ht="30.0" customHeight="1">
      <c r="A494" s="1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</row>
    <row r="495" ht="30.0" customHeight="1">
      <c r="A495" s="1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</row>
    <row r="496" ht="30.0" customHeight="1">
      <c r="A496" s="1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</row>
    <row r="497" ht="30.0" customHeight="1">
      <c r="A497" s="1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</row>
    <row r="498" ht="30.0" customHeight="1">
      <c r="A498" s="1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</row>
    <row r="499" ht="30.0" customHeight="1">
      <c r="A499" s="1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</row>
    <row r="500" ht="30.0" customHeight="1">
      <c r="A500" s="1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</row>
    <row r="501" ht="30.0" customHeight="1">
      <c r="A501" s="1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</row>
    <row r="502" ht="30.0" customHeight="1">
      <c r="A502" s="1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</row>
    <row r="503" ht="30.0" customHeight="1">
      <c r="A503" s="1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</row>
    <row r="504" ht="30.0" customHeight="1">
      <c r="A504" s="1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</row>
    <row r="505" ht="30.0" customHeight="1">
      <c r="A505" s="1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</row>
    <row r="506" ht="30.0" customHeight="1">
      <c r="A506" s="1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</row>
    <row r="507" ht="30.0" customHeight="1">
      <c r="A507" s="1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</row>
    <row r="508" ht="30.0" customHeight="1">
      <c r="A508" s="1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</row>
    <row r="509" ht="30.0" customHeight="1">
      <c r="A509" s="1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</row>
    <row r="510" ht="30.0" customHeight="1">
      <c r="A510" s="1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</row>
    <row r="511" ht="30.0" customHeight="1">
      <c r="A511" s="1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</row>
    <row r="512" ht="30.0" customHeight="1">
      <c r="A512" s="1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</row>
    <row r="513" ht="30.0" customHeight="1">
      <c r="A513" s="1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</row>
    <row r="514" ht="30.0" customHeight="1">
      <c r="A514" s="1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</row>
    <row r="515" ht="30.0" customHeight="1">
      <c r="A515" s="1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</row>
    <row r="516" ht="30.0" customHeight="1">
      <c r="A516" s="1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</row>
    <row r="517" ht="30.0" customHeight="1">
      <c r="A517" s="1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</row>
    <row r="518" ht="30.0" customHeight="1">
      <c r="A518" s="1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</row>
    <row r="519" ht="30.0" customHeight="1">
      <c r="A519" s="1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</row>
    <row r="520" ht="30.0" customHeight="1">
      <c r="A520" s="1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</row>
    <row r="521" ht="30.0" customHeight="1">
      <c r="A521" s="1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</row>
    <row r="522" ht="30.0" customHeight="1">
      <c r="A522" s="1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</row>
    <row r="523" ht="30.0" customHeight="1">
      <c r="A523" s="1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</row>
    <row r="524" ht="30.0" customHeight="1">
      <c r="A524" s="1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</row>
    <row r="525" ht="30.0" customHeight="1">
      <c r="A525" s="1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</row>
    <row r="526" ht="30.0" customHeight="1">
      <c r="A526" s="1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</row>
    <row r="527" ht="30.0" customHeight="1">
      <c r="A527" s="1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</row>
    <row r="528" ht="30.0" customHeight="1">
      <c r="A528" s="1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</row>
    <row r="529" ht="30.0" customHeight="1">
      <c r="A529" s="1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</row>
    <row r="530" ht="30.0" customHeight="1">
      <c r="A530" s="1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</row>
    <row r="531" ht="30.0" customHeight="1">
      <c r="A531" s="1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</row>
    <row r="532" ht="30.0" customHeight="1">
      <c r="A532" s="1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</row>
    <row r="533" ht="30.0" customHeight="1">
      <c r="A533" s="1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</row>
    <row r="534" ht="30.0" customHeight="1">
      <c r="A534" s="1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</row>
    <row r="535" ht="30.0" customHeight="1">
      <c r="A535" s="1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</row>
    <row r="536" ht="30.0" customHeight="1">
      <c r="A536" s="1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</row>
    <row r="537" ht="30.0" customHeight="1">
      <c r="A537" s="1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</row>
    <row r="538" ht="30.0" customHeight="1">
      <c r="A538" s="1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</row>
    <row r="539" ht="30.0" customHeight="1">
      <c r="A539" s="1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</row>
    <row r="540" ht="30.0" customHeight="1">
      <c r="A540" s="1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</row>
    <row r="541" ht="30.0" customHeight="1">
      <c r="A541" s="1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</row>
    <row r="542" ht="30.0" customHeight="1">
      <c r="A542" s="1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</row>
    <row r="543" ht="30.0" customHeight="1">
      <c r="A543" s="1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</row>
    <row r="544" ht="30.0" customHeight="1">
      <c r="A544" s="1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</row>
    <row r="545" ht="30.0" customHeight="1">
      <c r="A545" s="1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</row>
    <row r="546" ht="30.0" customHeight="1">
      <c r="A546" s="1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</row>
    <row r="547" ht="30.0" customHeight="1">
      <c r="A547" s="1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</row>
    <row r="548" ht="30.0" customHeight="1">
      <c r="A548" s="1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</row>
    <row r="549" ht="30.0" customHeight="1">
      <c r="A549" s="1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</row>
    <row r="550" ht="30.0" customHeight="1">
      <c r="A550" s="1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</row>
    <row r="551" ht="30.0" customHeight="1">
      <c r="A551" s="1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</row>
    <row r="552" ht="30.0" customHeight="1">
      <c r="A552" s="1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</row>
    <row r="553" ht="30.0" customHeight="1">
      <c r="A553" s="1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</row>
    <row r="554" ht="30.0" customHeight="1">
      <c r="A554" s="1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</row>
    <row r="555" ht="30.0" customHeight="1">
      <c r="A555" s="1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</row>
    <row r="556" ht="30.0" customHeight="1">
      <c r="A556" s="1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</row>
    <row r="557" ht="30.0" customHeight="1">
      <c r="A557" s="1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</row>
    <row r="558" ht="30.0" customHeight="1">
      <c r="A558" s="1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</row>
    <row r="559" ht="30.0" customHeight="1">
      <c r="A559" s="1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</row>
    <row r="560" ht="30.0" customHeight="1">
      <c r="A560" s="1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</row>
    <row r="561" ht="30.0" customHeight="1">
      <c r="A561" s="1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</row>
    <row r="562" ht="30.0" customHeight="1">
      <c r="A562" s="1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</row>
    <row r="563" ht="30.0" customHeight="1">
      <c r="A563" s="1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</row>
    <row r="564" ht="30.0" customHeight="1">
      <c r="A564" s="1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</row>
    <row r="565" ht="30.0" customHeight="1">
      <c r="A565" s="1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</row>
    <row r="566" ht="30.0" customHeight="1">
      <c r="A566" s="1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</row>
    <row r="567" ht="30.0" customHeight="1">
      <c r="A567" s="1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</row>
    <row r="568" ht="30.0" customHeight="1">
      <c r="A568" s="1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</row>
    <row r="569" ht="30.0" customHeight="1">
      <c r="A569" s="1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</row>
    <row r="570" ht="30.0" customHeight="1">
      <c r="A570" s="1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</row>
    <row r="571" ht="30.0" customHeight="1">
      <c r="A571" s="1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</row>
    <row r="572" ht="30.0" customHeight="1">
      <c r="A572" s="1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</row>
    <row r="573" ht="30.0" customHeight="1">
      <c r="A573" s="1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</row>
    <row r="574" ht="30.0" customHeight="1">
      <c r="A574" s="1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</row>
    <row r="575" ht="30.0" customHeight="1">
      <c r="A575" s="1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</row>
    <row r="576" ht="30.0" customHeight="1">
      <c r="A576" s="1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</row>
    <row r="577" ht="30.0" customHeight="1">
      <c r="A577" s="1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</row>
    <row r="578" ht="30.0" customHeight="1">
      <c r="A578" s="1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</row>
    <row r="579" ht="30.0" customHeight="1">
      <c r="A579" s="1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</row>
    <row r="580" ht="30.0" customHeight="1">
      <c r="A580" s="1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</row>
    <row r="581" ht="30.0" customHeight="1">
      <c r="A581" s="1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</row>
    <row r="582" ht="30.0" customHeight="1">
      <c r="A582" s="1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</row>
    <row r="583" ht="30.0" customHeight="1">
      <c r="A583" s="1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</row>
    <row r="584" ht="30.0" customHeight="1">
      <c r="A584" s="1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</row>
    <row r="585" ht="30.0" customHeight="1">
      <c r="A585" s="1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</row>
    <row r="586" ht="30.0" customHeight="1">
      <c r="A586" s="1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</row>
    <row r="587" ht="30.0" customHeight="1">
      <c r="A587" s="1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</row>
    <row r="588" ht="30.0" customHeight="1">
      <c r="A588" s="1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</row>
    <row r="589" ht="30.0" customHeight="1">
      <c r="A589" s="1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</row>
    <row r="590" ht="30.0" customHeight="1">
      <c r="A590" s="1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</row>
    <row r="591" ht="30.0" customHeight="1">
      <c r="A591" s="1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</row>
    <row r="592" ht="30.0" customHeight="1">
      <c r="A592" s="1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</row>
    <row r="593" ht="30.0" customHeight="1">
      <c r="A593" s="1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</row>
    <row r="594" ht="30.0" customHeight="1">
      <c r="A594" s="1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</row>
    <row r="595" ht="30.0" customHeight="1">
      <c r="A595" s="1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</row>
    <row r="596" ht="30.0" customHeight="1">
      <c r="A596" s="1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</row>
    <row r="597" ht="30.0" customHeight="1">
      <c r="A597" s="1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</row>
    <row r="598" ht="30.0" customHeight="1">
      <c r="A598" s="1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</row>
    <row r="599" ht="30.0" customHeight="1">
      <c r="A599" s="1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</row>
    <row r="600" ht="30.0" customHeight="1">
      <c r="A600" s="1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</row>
    <row r="601" ht="30.0" customHeight="1">
      <c r="A601" s="1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</row>
    <row r="602" ht="30.0" customHeight="1">
      <c r="A602" s="1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</row>
    <row r="603" ht="30.0" customHeight="1">
      <c r="A603" s="1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</row>
    <row r="604" ht="30.0" customHeight="1">
      <c r="A604" s="1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</row>
    <row r="605" ht="30.0" customHeight="1">
      <c r="A605" s="1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</row>
    <row r="606" ht="30.0" customHeight="1">
      <c r="A606" s="1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</row>
    <row r="607" ht="30.0" customHeight="1">
      <c r="A607" s="1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</row>
    <row r="608" ht="30.0" customHeight="1">
      <c r="A608" s="1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</row>
    <row r="609" ht="30.0" customHeight="1">
      <c r="A609" s="1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</row>
    <row r="610" ht="30.0" customHeight="1">
      <c r="A610" s="1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</row>
    <row r="611" ht="30.0" customHeight="1">
      <c r="A611" s="1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</row>
    <row r="612" ht="30.0" customHeight="1">
      <c r="A612" s="1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</row>
    <row r="613" ht="30.0" customHeight="1">
      <c r="A613" s="1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</row>
    <row r="614" ht="30.0" customHeight="1">
      <c r="A614" s="1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</row>
    <row r="615" ht="30.0" customHeight="1">
      <c r="A615" s="1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</row>
    <row r="616" ht="30.0" customHeight="1">
      <c r="A616" s="1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</row>
    <row r="617" ht="30.0" customHeight="1">
      <c r="A617" s="1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</row>
    <row r="618" ht="30.0" customHeight="1">
      <c r="A618" s="1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</row>
    <row r="619" ht="30.0" customHeight="1">
      <c r="A619" s="1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</row>
    <row r="620" ht="30.0" customHeight="1">
      <c r="A620" s="1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</row>
    <row r="621" ht="30.0" customHeight="1">
      <c r="A621" s="1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</row>
    <row r="622" ht="30.0" customHeight="1">
      <c r="A622" s="1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</row>
    <row r="623" ht="30.0" customHeight="1">
      <c r="A623" s="1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</row>
    <row r="624" ht="30.0" customHeight="1">
      <c r="A624" s="1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</row>
    <row r="625" ht="30.0" customHeight="1">
      <c r="A625" s="1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</row>
    <row r="626" ht="30.0" customHeight="1">
      <c r="A626" s="1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</row>
    <row r="627" ht="30.0" customHeight="1">
      <c r="A627" s="1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</row>
    <row r="628" ht="30.0" customHeight="1">
      <c r="A628" s="1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</row>
    <row r="629" ht="30.0" customHeight="1">
      <c r="A629" s="1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</row>
    <row r="630" ht="30.0" customHeight="1">
      <c r="A630" s="1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</row>
    <row r="631" ht="30.0" customHeight="1">
      <c r="A631" s="1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</row>
    <row r="632" ht="30.0" customHeight="1">
      <c r="A632" s="1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</row>
    <row r="633" ht="30.0" customHeight="1">
      <c r="A633" s="1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</row>
    <row r="634" ht="30.0" customHeight="1">
      <c r="A634" s="1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</row>
    <row r="635" ht="30.0" customHeight="1">
      <c r="A635" s="1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</row>
    <row r="636" ht="30.0" customHeight="1">
      <c r="A636" s="1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</row>
    <row r="637" ht="30.0" customHeight="1">
      <c r="A637" s="1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</row>
    <row r="638" ht="30.0" customHeight="1">
      <c r="A638" s="1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</row>
    <row r="639" ht="30.0" customHeight="1">
      <c r="A639" s="1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</row>
    <row r="640" ht="30.0" customHeight="1">
      <c r="A640" s="1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</row>
    <row r="641" ht="30.0" customHeight="1">
      <c r="A641" s="1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</row>
    <row r="642" ht="30.0" customHeight="1">
      <c r="A642" s="1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</row>
    <row r="643" ht="30.0" customHeight="1">
      <c r="A643" s="1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</row>
    <row r="644" ht="30.0" customHeight="1">
      <c r="A644" s="1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</row>
    <row r="645" ht="30.0" customHeight="1">
      <c r="A645" s="1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</row>
    <row r="646" ht="30.0" customHeight="1">
      <c r="A646" s="1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</row>
    <row r="647" ht="30.0" customHeight="1">
      <c r="A647" s="1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</row>
    <row r="648" ht="30.0" customHeight="1">
      <c r="A648" s="1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</row>
    <row r="649" ht="30.0" customHeight="1">
      <c r="A649" s="1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</row>
    <row r="650" ht="30.0" customHeight="1">
      <c r="A650" s="1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</row>
    <row r="651" ht="30.0" customHeight="1">
      <c r="A651" s="1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</row>
    <row r="652" ht="30.0" customHeight="1">
      <c r="A652" s="1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</row>
    <row r="653" ht="30.0" customHeight="1">
      <c r="A653" s="1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</row>
    <row r="654" ht="30.0" customHeight="1">
      <c r="A654" s="1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</row>
    <row r="655" ht="30.0" customHeight="1">
      <c r="A655" s="1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</row>
    <row r="656" ht="30.0" customHeight="1">
      <c r="A656" s="1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</row>
    <row r="657" ht="30.0" customHeight="1">
      <c r="A657" s="1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</row>
    <row r="658" ht="30.0" customHeight="1">
      <c r="A658" s="1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</row>
    <row r="659" ht="30.0" customHeight="1">
      <c r="A659" s="1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</row>
    <row r="660" ht="30.0" customHeight="1">
      <c r="A660" s="1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</row>
    <row r="661" ht="30.0" customHeight="1">
      <c r="A661" s="1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</row>
    <row r="662" ht="30.0" customHeight="1">
      <c r="A662" s="1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</row>
    <row r="663" ht="30.0" customHeight="1">
      <c r="A663" s="1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</row>
    <row r="664" ht="30.0" customHeight="1">
      <c r="A664" s="1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</row>
    <row r="665" ht="30.0" customHeight="1">
      <c r="A665" s="1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</row>
    <row r="666" ht="30.0" customHeight="1">
      <c r="A666" s="1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</row>
    <row r="667" ht="30.0" customHeight="1">
      <c r="A667" s="1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</row>
    <row r="668" ht="30.0" customHeight="1">
      <c r="A668" s="1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</row>
    <row r="669" ht="30.0" customHeight="1">
      <c r="A669" s="1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</row>
    <row r="670" ht="30.0" customHeight="1">
      <c r="A670" s="1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</row>
    <row r="671" ht="30.0" customHeight="1">
      <c r="A671" s="1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</row>
    <row r="672" ht="30.0" customHeight="1">
      <c r="A672" s="1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</row>
    <row r="673" ht="30.0" customHeight="1">
      <c r="A673" s="1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</row>
    <row r="674" ht="30.0" customHeight="1">
      <c r="A674" s="1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</row>
    <row r="675" ht="30.0" customHeight="1">
      <c r="A675" s="1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</row>
    <row r="676" ht="30.0" customHeight="1">
      <c r="A676" s="1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</row>
    <row r="677" ht="30.0" customHeight="1">
      <c r="A677" s="1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</row>
    <row r="678" ht="30.0" customHeight="1">
      <c r="A678" s="1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</row>
    <row r="679" ht="30.0" customHeight="1">
      <c r="A679" s="1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</row>
    <row r="680" ht="30.0" customHeight="1">
      <c r="A680" s="1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</row>
    <row r="681" ht="30.0" customHeight="1">
      <c r="A681" s="1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</row>
    <row r="682" ht="30.0" customHeight="1">
      <c r="A682" s="1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</row>
    <row r="683" ht="30.0" customHeight="1">
      <c r="A683" s="1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</row>
    <row r="684" ht="30.0" customHeight="1">
      <c r="A684" s="1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</row>
    <row r="685" ht="30.0" customHeight="1">
      <c r="A685" s="1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</row>
    <row r="686" ht="30.0" customHeight="1">
      <c r="A686" s="1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</row>
    <row r="687" ht="30.0" customHeight="1">
      <c r="A687" s="1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</row>
    <row r="688" ht="30.0" customHeight="1">
      <c r="A688" s="1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</row>
    <row r="689" ht="30.0" customHeight="1">
      <c r="A689" s="1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</row>
    <row r="690" ht="30.0" customHeight="1">
      <c r="A690" s="1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</row>
    <row r="691" ht="30.0" customHeight="1">
      <c r="A691" s="1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</row>
    <row r="692" ht="30.0" customHeight="1">
      <c r="A692" s="1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</row>
    <row r="693" ht="30.0" customHeight="1">
      <c r="A693" s="1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</row>
    <row r="694" ht="30.0" customHeight="1">
      <c r="A694" s="1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</row>
    <row r="695" ht="30.0" customHeight="1">
      <c r="A695" s="1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</row>
    <row r="696" ht="30.0" customHeight="1">
      <c r="A696" s="1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</row>
    <row r="697" ht="30.0" customHeight="1">
      <c r="A697" s="1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</row>
    <row r="698" ht="30.0" customHeight="1">
      <c r="A698" s="1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</row>
    <row r="699" ht="30.0" customHeight="1">
      <c r="A699" s="1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</row>
    <row r="700" ht="30.0" customHeight="1">
      <c r="A700" s="1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</row>
    <row r="701" ht="30.0" customHeight="1">
      <c r="A701" s="1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</row>
    <row r="702" ht="30.0" customHeight="1">
      <c r="A702" s="1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</row>
    <row r="703" ht="30.0" customHeight="1">
      <c r="A703" s="1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</row>
    <row r="704" ht="30.0" customHeight="1">
      <c r="A704" s="1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</row>
    <row r="705" ht="30.0" customHeight="1">
      <c r="A705" s="1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</row>
    <row r="706" ht="30.0" customHeight="1">
      <c r="A706" s="1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</row>
    <row r="707" ht="30.0" customHeight="1">
      <c r="A707" s="1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</row>
    <row r="708" ht="30.0" customHeight="1">
      <c r="A708" s="1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</row>
    <row r="709" ht="30.0" customHeight="1">
      <c r="A709" s="1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</row>
    <row r="710" ht="30.0" customHeight="1">
      <c r="A710" s="1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</row>
    <row r="711" ht="30.0" customHeight="1">
      <c r="A711" s="1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</row>
    <row r="712" ht="30.0" customHeight="1">
      <c r="A712" s="1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</row>
    <row r="713" ht="30.0" customHeight="1">
      <c r="A713" s="1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</row>
    <row r="714" ht="30.0" customHeight="1">
      <c r="A714" s="1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</row>
    <row r="715" ht="30.0" customHeight="1">
      <c r="A715" s="1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</row>
    <row r="716" ht="30.0" customHeight="1">
      <c r="A716" s="1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</row>
    <row r="717" ht="30.0" customHeight="1">
      <c r="A717" s="1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</row>
    <row r="718" ht="30.0" customHeight="1">
      <c r="A718" s="1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</row>
    <row r="719" ht="30.0" customHeight="1">
      <c r="A719" s="1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</row>
    <row r="720" ht="30.0" customHeight="1">
      <c r="A720" s="1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</row>
    <row r="721" ht="30.0" customHeight="1">
      <c r="A721" s="1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</row>
    <row r="722" ht="30.0" customHeight="1">
      <c r="A722" s="1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</row>
    <row r="723" ht="30.0" customHeight="1">
      <c r="A723" s="1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</row>
    <row r="724" ht="30.0" customHeight="1">
      <c r="A724" s="1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</row>
    <row r="725" ht="30.0" customHeight="1">
      <c r="A725" s="1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</row>
    <row r="726" ht="30.0" customHeight="1">
      <c r="A726" s="1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</row>
    <row r="727" ht="30.0" customHeight="1">
      <c r="A727" s="1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</row>
    <row r="728" ht="30.0" customHeight="1">
      <c r="A728" s="1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</row>
    <row r="729" ht="30.0" customHeight="1">
      <c r="A729" s="1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</row>
    <row r="730" ht="30.0" customHeight="1">
      <c r="A730" s="1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</row>
    <row r="731" ht="30.0" customHeight="1">
      <c r="A731" s="1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</row>
    <row r="732" ht="30.0" customHeight="1">
      <c r="A732" s="1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</row>
    <row r="733" ht="30.0" customHeight="1">
      <c r="A733" s="1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</row>
    <row r="734" ht="30.0" customHeight="1">
      <c r="A734" s="1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</row>
    <row r="735" ht="30.0" customHeight="1">
      <c r="A735" s="1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</row>
    <row r="736" ht="30.0" customHeight="1">
      <c r="A736" s="1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</row>
    <row r="737" ht="30.0" customHeight="1">
      <c r="A737" s="1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</row>
    <row r="738" ht="30.0" customHeight="1">
      <c r="A738" s="1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</row>
    <row r="739" ht="30.0" customHeight="1">
      <c r="A739" s="1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</row>
    <row r="740" ht="30.0" customHeight="1">
      <c r="A740" s="1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</row>
    <row r="741" ht="30.0" customHeight="1">
      <c r="A741" s="1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</row>
    <row r="742" ht="30.0" customHeight="1">
      <c r="A742" s="1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</row>
    <row r="743" ht="30.0" customHeight="1">
      <c r="A743" s="1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</row>
    <row r="744" ht="30.0" customHeight="1">
      <c r="A744" s="1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</row>
    <row r="745" ht="30.0" customHeight="1">
      <c r="A745" s="1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</row>
    <row r="746" ht="30.0" customHeight="1">
      <c r="A746" s="1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</row>
    <row r="747" ht="30.0" customHeight="1">
      <c r="A747" s="1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</row>
    <row r="748" ht="30.0" customHeight="1">
      <c r="A748" s="1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</row>
    <row r="749" ht="30.0" customHeight="1">
      <c r="A749" s="1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</row>
    <row r="750" ht="30.0" customHeight="1">
      <c r="A750" s="1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</row>
    <row r="751" ht="30.0" customHeight="1">
      <c r="A751" s="1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</row>
    <row r="752" ht="30.0" customHeight="1">
      <c r="A752" s="1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</row>
    <row r="753" ht="30.0" customHeight="1">
      <c r="A753" s="1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</row>
    <row r="754" ht="30.0" customHeight="1">
      <c r="A754" s="1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</row>
    <row r="755" ht="30.0" customHeight="1">
      <c r="A755" s="1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</row>
    <row r="756" ht="30.0" customHeight="1">
      <c r="A756" s="1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</row>
    <row r="757" ht="30.0" customHeight="1">
      <c r="A757" s="1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</row>
    <row r="758" ht="30.0" customHeight="1">
      <c r="A758" s="1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</row>
    <row r="759" ht="30.0" customHeight="1">
      <c r="A759" s="1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</row>
    <row r="760" ht="30.0" customHeight="1">
      <c r="A760" s="1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</row>
    <row r="761" ht="30.0" customHeight="1">
      <c r="A761" s="1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</row>
    <row r="762" ht="30.0" customHeight="1">
      <c r="A762" s="1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</row>
    <row r="763" ht="30.0" customHeight="1">
      <c r="A763" s="1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</row>
    <row r="764" ht="30.0" customHeight="1">
      <c r="A764" s="1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</row>
    <row r="765" ht="30.0" customHeight="1">
      <c r="A765" s="1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</row>
    <row r="766" ht="30.0" customHeight="1">
      <c r="A766" s="1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</row>
    <row r="767" ht="30.0" customHeight="1">
      <c r="A767" s="1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</row>
    <row r="768" ht="30.0" customHeight="1">
      <c r="A768" s="1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</row>
    <row r="769" ht="30.0" customHeight="1">
      <c r="A769" s="1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</row>
    <row r="770" ht="30.0" customHeight="1">
      <c r="A770" s="1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</row>
    <row r="771" ht="30.0" customHeight="1">
      <c r="A771" s="1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</row>
    <row r="772" ht="30.0" customHeight="1">
      <c r="A772" s="1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</row>
    <row r="773" ht="30.0" customHeight="1">
      <c r="A773" s="1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</row>
    <row r="774" ht="30.0" customHeight="1">
      <c r="A774" s="1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</row>
    <row r="775" ht="30.0" customHeight="1">
      <c r="A775" s="1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</row>
    <row r="776" ht="30.0" customHeight="1">
      <c r="A776" s="1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</row>
    <row r="777" ht="30.0" customHeight="1">
      <c r="A777" s="1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</row>
    <row r="778" ht="30.0" customHeight="1">
      <c r="A778" s="1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</row>
    <row r="779" ht="30.0" customHeight="1">
      <c r="A779" s="1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</row>
    <row r="780" ht="30.0" customHeight="1">
      <c r="A780" s="1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</row>
    <row r="781" ht="30.0" customHeight="1">
      <c r="A781" s="1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</row>
    <row r="782" ht="30.0" customHeight="1">
      <c r="A782" s="1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</row>
    <row r="783" ht="30.0" customHeight="1">
      <c r="A783" s="1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</row>
    <row r="784" ht="30.0" customHeight="1">
      <c r="A784" s="1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</row>
    <row r="785" ht="30.0" customHeight="1">
      <c r="A785" s="1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</row>
    <row r="786" ht="30.0" customHeight="1">
      <c r="A786" s="1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</row>
    <row r="787" ht="30.0" customHeight="1">
      <c r="A787" s="1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</row>
    <row r="788" ht="30.0" customHeight="1">
      <c r="A788" s="1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</row>
    <row r="789" ht="30.0" customHeight="1">
      <c r="A789" s="1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</row>
    <row r="790" ht="30.0" customHeight="1">
      <c r="A790" s="1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</row>
    <row r="791" ht="30.0" customHeight="1">
      <c r="A791" s="1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</row>
    <row r="792" ht="30.0" customHeight="1">
      <c r="A792" s="1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</row>
    <row r="793" ht="30.0" customHeight="1">
      <c r="A793" s="1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</row>
    <row r="794" ht="30.0" customHeight="1">
      <c r="A794" s="1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</row>
    <row r="795" ht="30.0" customHeight="1">
      <c r="A795" s="1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</row>
    <row r="796" ht="30.0" customHeight="1">
      <c r="A796" s="1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</row>
    <row r="797" ht="30.0" customHeight="1">
      <c r="A797" s="1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</row>
    <row r="798" ht="30.0" customHeight="1">
      <c r="A798" s="1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</row>
    <row r="799" ht="30.0" customHeight="1">
      <c r="A799" s="1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</row>
    <row r="800" ht="30.0" customHeight="1">
      <c r="A800" s="1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</row>
    <row r="801" ht="30.0" customHeight="1">
      <c r="A801" s="1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</row>
    <row r="802" ht="30.0" customHeight="1">
      <c r="A802" s="1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</row>
    <row r="803" ht="30.0" customHeight="1">
      <c r="A803" s="1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</row>
    <row r="804" ht="30.0" customHeight="1">
      <c r="A804" s="1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</row>
    <row r="805" ht="30.0" customHeight="1">
      <c r="A805" s="1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</row>
    <row r="806" ht="30.0" customHeight="1">
      <c r="A806" s="1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</row>
    <row r="807" ht="30.0" customHeight="1">
      <c r="A807" s="1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</row>
    <row r="808" ht="30.0" customHeight="1">
      <c r="A808" s="1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</row>
    <row r="809" ht="30.0" customHeight="1">
      <c r="A809" s="1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</row>
    <row r="810" ht="30.0" customHeight="1">
      <c r="A810" s="1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</row>
    <row r="811" ht="30.0" customHeight="1">
      <c r="A811" s="1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</row>
    <row r="812" ht="30.0" customHeight="1">
      <c r="A812" s="1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</row>
    <row r="813" ht="30.0" customHeight="1">
      <c r="A813" s="1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</row>
    <row r="814" ht="30.0" customHeight="1">
      <c r="A814" s="1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</row>
    <row r="815" ht="30.0" customHeight="1">
      <c r="A815" s="1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</row>
    <row r="816" ht="30.0" customHeight="1">
      <c r="A816" s="1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</row>
    <row r="817" ht="30.0" customHeight="1">
      <c r="A817" s="1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</row>
    <row r="818" ht="30.0" customHeight="1">
      <c r="A818" s="1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</row>
    <row r="819" ht="30.0" customHeight="1">
      <c r="A819" s="1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</row>
    <row r="820" ht="30.0" customHeight="1">
      <c r="A820" s="1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</row>
    <row r="821" ht="30.0" customHeight="1">
      <c r="A821" s="1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</row>
    <row r="822" ht="30.0" customHeight="1">
      <c r="A822" s="1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</row>
    <row r="823" ht="30.0" customHeight="1">
      <c r="A823" s="1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</row>
    <row r="824" ht="30.0" customHeight="1">
      <c r="A824" s="1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</row>
    <row r="825" ht="30.0" customHeight="1">
      <c r="A825" s="1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</row>
    <row r="826" ht="30.0" customHeight="1">
      <c r="A826" s="1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</row>
    <row r="827" ht="30.0" customHeight="1">
      <c r="A827" s="1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</row>
    <row r="828" ht="30.0" customHeight="1">
      <c r="A828" s="1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</row>
    <row r="829" ht="30.0" customHeight="1">
      <c r="A829" s="1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</row>
    <row r="830" ht="30.0" customHeight="1">
      <c r="A830" s="1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</row>
    <row r="831" ht="30.0" customHeight="1">
      <c r="A831" s="1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</row>
    <row r="832" ht="30.0" customHeight="1">
      <c r="A832" s="1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</row>
    <row r="833" ht="30.0" customHeight="1">
      <c r="A833" s="1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</row>
    <row r="834" ht="30.0" customHeight="1">
      <c r="A834" s="1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</row>
    <row r="835" ht="30.0" customHeight="1">
      <c r="A835" s="1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</row>
    <row r="836" ht="30.0" customHeight="1">
      <c r="A836" s="1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</row>
    <row r="837" ht="30.0" customHeight="1">
      <c r="A837" s="1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</row>
    <row r="838" ht="30.0" customHeight="1">
      <c r="A838" s="1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</row>
    <row r="839" ht="30.0" customHeight="1">
      <c r="A839" s="1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</row>
    <row r="840" ht="30.0" customHeight="1">
      <c r="A840" s="1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</row>
    <row r="841" ht="30.0" customHeight="1">
      <c r="A841" s="1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</row>
    <row r="842" ht="30.0" customHeight="1">
      <c r="A842" s="1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</row>
    <row r="843" ht="30.0" customHeight="1">
      <c r="A843" s="1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</row>
    <row r="844" ht="30.0" customHeight="1">
      <c r="A844" s="1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</row>
    <row r="845" ht="30.0" customHeight="1">
      <c r="A845" s="1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</row>
    <row r="846" ht="30.0" customHeight="1">
      <c r="A846" s="1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</row>
    <row r="847" ht="30.0" customHeight="1">
      <c r="A847" s="1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</row>
    <row r="848" ht="30.0" customHeight="1">
      <c r="A848" s="1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</row>
    <row r="849" ht="30.0" customHeight="1">
      <c r="A849" s="1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</row>
    <row r="850" ht="30.0" customHeight="1">
      <c r="A850" s="1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</row>
    <row r="851" ht="30.0" customHeight="1">
      <c r="A851" s="1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</row>
    <row r="852" ht="30.0" customHeight="1">
      <c r="A852" s="1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</row>
    <row r="853" ht="30.0" customHeight="1">
      <c r="A853" s="1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</row>
    <row r="854" ht="30.0" customHeight="1">
      <c r="A854" s="1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</row>
    <row r="855" ht="30.0" customHeight="1">
      <c r="A855" s="1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</row>
    <row r="856" ht="30.0" customHeight="1">
      <c r="A856" s="1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</row>
    <row r="857" ht="30.0" customHeight="1">
      <c r="A857" s="1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</row>
    <row r="858" ht="30.0" customHeight="1">
      <c r="A858" s="1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</row>
    <row r="859" ht="30.0" customHeight="1">
      <c r="A859" s="1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</row>
    <row r="860" ht="30.0" customHeight="1">
      <c r="A860" s="1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</row>
    <row r="861" ht="30.0" customHeight="1">
      <c r="A861" s="1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</row>
    <row r="862" ht="30.0" customHeight="1">
      <c r="A862" s="1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</row>
    <row r="863" ht="30.0" customHeight="1">
      <c r="A863" s="1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</row>
    <row r="864" ht="30.0" customHeight="1">
      <c r="A864" s="1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</row>
    <row r="865" ht="30.0" customHeight="1">
      <c r="A865" s="1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</row>
    <row r="866" ht="30.0" customHeight="1">
      <c r="A866" s="1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</row>
    <row r="867" ht="30.0" customHeight="1">
      <c r="A867" s="1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</row>
    <row r="868" ht="30.0" customHeight="1">
      <c r="A868" s="1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</row>
    <row r="869" ht="30.0" customHeight="1">
      <c r="A869" s="1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</row>
    <row r="870" ht="30.0" customHeight="1">
      <c r="A870" s="1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</row>
    <row r="871" ht="30.0" customHeight="1">
      <c r="A871" s="1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</row>
    <row r="872" ht="30.0" customHeight="1">
      <c r="A872" s="1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</row>
    <row r="873" ht="30.0" customHeight="1">
      <c r="A873" s="1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</row>
    <row r="874" ht="30.0" customHeight="1">
      <c r="A874" s="1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</row>
    <row r="875" ht="30.0" customHeight="1">
      <c r="A875" s="1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</row>
    <row r="876" ht="30.0" customHeight="1">
      <c r="A876" s="1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</row>
    <row r="877" ht="30.0" customHeight="1">
      <c r="A877" s="1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</row>
    <row r="878" ht="30.0" customHeight="1">
      <c r="A878" s="1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</row>
    <row r="879" ht="30.0" customHeight="1">
      <c r="A879" s="1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</row>
    <row r="880" ht="30.0" customHeight="1">
      <c r="A880" s="1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</row>
    <row r="881" ht="30.0" customHeight="1">
      <c r="A881" s="1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</row>
    <row r="882" ht="30.0" customHeight="1">
      <c r="A882" s="1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</row>
    <row r="883" ht="30.0" customHeight="1">
      <c r="A883" s="1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</row>
    <row r="884" ht="30.0" customHeight="1">
      <c r="A884" s="1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</row>
    <row r="885" ht="30.0" customHeight="1">
      <c r="A885" s="1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</row>
    <row r="886" ht="30.0" customHeight="1">
      <c r="A886" s="1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</row>
    <row r="887" ht="30.0" customHeight="1">
      <c r="A887" s="1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</row>
    <row r="888" ht="30.0" customHeight="1">
      <c r="A888" s="1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</row>
    <row r="889" ht="30.0" customHeight="1">
      <c r="A889" s="1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</row>
    <row r="890" ht="30.0" customHeight="1">
      <c r="A890" s="1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</row>
    <row r="891" ht="30.0" customHeight="1">
      <c r="A891" s="1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</row>
    <row r="892" ht="30.0" customHeight="1">
      <c r="A892" s="1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</row>
    <row r="893" ht="30.0" customHeight="1">
      <c r="A893" s="1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</row>
    <row r="894" ht="30.0" customHeight="1">
      <c r="A894" s="1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</row>
    <row r="895" ht="30.0" customHeight="1">
      <c r="A895" s="1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</row>
    <row r="896" ht="30.0" customHeight="1">
      <c r="A896" s="1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</row>
    <row r="897" ht="30.0" customHeight="1">
      <c r="A897" s="1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</row>
    <row r="898" ht="30.0" customHeight="1">
      <c r="A898" s="1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</row>
    <row r="899" ht="30.0" customHeight="1">
      <c r="A899" s="1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</row>
    <row r="900" ht="30.0" customHeight="1">
      <c r="A900" s="1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</row>
    <row r="901" ht="30.0" customHeight="1">
      <c r="A901" s="1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</row>
    <row r="902" ht="30.0" customHeight="1">
      <c r="A902" s="1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</row>
    <row r="903" ht="30.0" customHeight="1">
      <c r="A903" s="1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</row>
    <row r="904" ht="30.0" customHeight="1">
      <c r="A904" s="1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</row>
    <row r="905" ht="30.0" customHeight="1">
      <c r="A905" s="1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</row>
    <row r="906" ht="30.0" customHeight="1">
      <c r="A906" s="1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</row>
    <row r="907" ht="30.0" customHeight="1">
      <c r="A907" s="1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</row>
    <row r="908" ht="30.0" customHeight="1">
      <c r="A908" s="1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</row>
    <row r="909" ht="30.0" customHeight="1">
      <c r="A909" s="1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</row>
    <row r="910" ht="30.0" customHeight="1">
      <c r="A910" s="1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</row>
    <row r="911" ht="30.0" customHeight="1">
      <c r="A911" s="1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</row>
    <row r="912" ht="30.0" customHeight="1">
      <c r="A912" s="1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</row>
    <row r="913" ht="30.0" customHeight="1">
      <c r="A913" s="1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</row>
    <row r="914" ht="30.0" customHeight="1">
      <c r="A914" s="1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</row>
    <row r="915" ht="30.0" customHeight="1">
      <c r="A915" s="1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</row>
    <row r="916" ht="30.0" customHeight="1">
      <c r="A916" s="1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</row>
    <row r="917" ht="30.0" customHeight="1">
      <c r="A917" s="1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</row>
    <row r="918" ht="30.0" customHeight="1">
      <c r="A918" s="1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</row>
    <row r="919" ht="30.0" customHeight="1">
      <c r="A919" s="1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</row>
    <row r="920" ht="30.0" customHeight="1">
      <c r="A920" s="1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</row>
    <row r="921" ht="30.0" customHeight="1">
      <c r="A921" s="1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</row>
    <row r="922" ht="30.0" customHeight="1">
      <c r="A922" s="1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</row>
    <row r="923" ht="30.0" customHeight="1">
      <c r="A923" s="1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</row>
    <row r="924" ht="30.0" customHeight="1">
      <c r="A924" s="1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</row>
    <row r="925" ht="30.0" customHeight="1">
      <c r="A925" s="1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</row>
    <row r="926" ht="30.0" customHeight="1">
      <c r="A926" s="1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</row>
    <row r="927" ht="30.0" customHeight="1">
      <c r="A927" s="1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</row>
    <row r="928" ht="30.0" customHeight="1">
      <c r="A928" s="1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</row>
    <row r="929" ht="30.0" customHeight="1">
      <c r="A929" s="1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</row>
    <row r="930" ht="30.0" customHeight="1">
      <c r="A930" s="1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</row>
    <row r="931" ht="30.0" customHeight="1">
      <c r="A931" s="1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</row>
    <row r="932" ht="30.0" customHeight="1">
      <c r="A932" s="1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</row>
    <row r="933" ht="30.0" customHeight="1">
      <c r="A933" s="1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</row>
    <row r="934" ht="30.0" customHeight="1">
      <c r="A934" s="1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</row>
    <row r="935" ht="30.0" customHeight="1">
      <c r="A935" s="1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</row>
    <row r="936" ht="30.0" customHeight="1">
      <c r="A936" s="1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</row>
    <row r="937" ht="30.0" customHeight="1">
      <c r="A937" s="1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</row>
    <row r="938" ht="30.0" customHeight="1">
      <c r="A938" s="1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</row>
    <row r="939" ht="30.0" customHeight="1">
      <c r="A939" s="1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</row>
    <row r="940" ht="30.0" customHeight="1">
      <c r="A940" s="1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</row>
    <row r="941" ht="30.0" customHeight="1">
      <c r="A941" s="1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</row>
    <row r="942" ht="30.0" customHeight="1">
      <c r="A942" s="1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</row>
    <row r="943" ht="30.0" customHeight="1">
      <c r="A943" s="1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</row>
    <row r="944" ht="30.0" customHeight="1">
      <c r="A944" s="1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</row>
    <row r="945" ht="30.0" customHeight="1">
      <c r="A945" s="1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</row>
    <row r="946" ht="30.0" customHeight="1">
      <c r="A946" s="1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</row>
    <row r="947" ht="30.0" customHeight="1">
      <c r="A947" s="1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</row>
    <row r="948" ht="30.0" customHeight="1">
      <c r="A948" s="1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</row>
    <row r="949" ht="30.0" customHeight="1">
      <c r="A949" s="1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</row>
    <row r="950" ht="30.0" customHeight="1">
      <c r="A950" s="1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</row>
    <row r="951" ht="30.0" customHeight="1">
      <c r="A951" s="1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</row>
    <row r="952" ht="30.0" customHeight="1">
      <c r="A952" s="1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</row>
    <row r="953" ht="30.0" customHeight="1">
      <c r="A953" s="1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</row>
    <row r="954" ht="30.0" customHeight="1">
      <c r="A954" s="1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</row>
    <row r="955" ht="30.0" customHeight="1">
      <c r="A955" s="1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</row>
    <row r="956" ht="30.0" customHeight="1">
      <c r="A956" s="1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</row>
    <row r="957" ht="30.0" customHeight="1">
      <c r="A957" s="1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</row>
    <row r="958" ht="30.0" customHeight="1">
      <c r="A958" s="1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</row>
    <row r="959" ht="30.0" customHeight="1">
      <c r="A959" s="1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</row>
    <row r="960" ht="30.0" customHeight="1">
      <c r="A960" s="1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</row>
    <row r="961" ht="30.0" customHeight="1">
      <c r="A961" s="1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</row>
    <row r="962" ht="30.0" customHeight="1">
      <c r="A962" s="1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</row>
    <row r="963" ht="30.0" customHeight="1">
      <c r="A963" s="1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</row>
    <row r="964" ht="30.0" customHeight="1">
      <c r="A964" s="1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</row>
    <row r="965" ht="30.0" customHeight="1">
      <c r="A965" s="1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</row>
    <row r="966" ht="30.0" customHeight="1">
      <c r="A966" s="1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</row>
    <row r="967" ht="30.0" customHeight="1">
      <c r="A967" s="1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</row>
    <row r="968" ht="30.0" customHeight="1">
      <c r="A968" s="1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</row>
    <row r="969" ht="30.0" customHeight="1">
      <c r="A969" s="1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</row>
    <row r="970" ht="30.0" customHeight="1">
      <c r="A970" s="1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</row>
    <row r="971" ht="30.0" customHeight="1">
      <c r="A971" s="1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</row>
    <row r="972" ht="30.0" customHeight="1">
      <c r="A972" s="1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</row>
    <row r="973" ht="30.0" customHeight="1">
      <c r="A973" s="1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</row>
    <row r="974" ht="30.0" customHeight="1">
      <c r="A974" s="1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</row>
    <row r="975" ht="30.0" customHeight="1">
      <c r="A975" s="1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</row>
    <row r="976" ht="30.0" customHeight="1">
      <c r="A976" s="1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</row>
    <row r="977" ht="30.0" customHeight="1">
      <c r="A977" s="1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</row>
    <row r="978" ht="30.0" customHeight="1">
      <c r="A978" s="1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</row>
    <row r="979" ht="30.0" customHeight="1">
      <c r="A979" s="1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</row>
  </sheetData>
  <mergeCells count="4">
    <mergeCell ref="B2:F2"/>
    <mergeCell ref="G2:L2"/>
    <mergeCell ref="M2:R2"/>
    <mergeCell ref="G4:J4"/>
  </mergeCells>
  <conditionalFormatting sqref="H6:AK6 BN6:BO6 CR6:CS6 DV6">
    <cfRule type="expression" dxfId="0" priority="1">
      <formula>AND(G$7&lt;=EOMONTH($G$7,1),G$7&gt;EOMONTH($G$7,0))</formula>
    </cfRule>
  </conditionalFormatting>
  <conditionalFormatting sqref="H6:AK6 BN6:BO6 CR6:CS6 DV6">
    <cfRule type="expression" dxfId="1" priority="2">
      <formula>AND(H$7&lt;=EOMONTH($G$7,2),H$7&gt;EOMONTH($G$7,0),H$7&gt;EOMONTH($G$7,1))</formula>
    </cfRule>
  </conditionalFormatting>
  <conditionalFormatting sqref="H6:AK6 BN6:BO6 CR6:CS6 DV6">
    <cfRule type="expression" dxfId="1" priority="3">
      <formula>G$7&lt;=EOMONTH($G$7,0)</formula>
    </cfRule>
  </conditionalFormatting>
  <conditionalFormatting sqref="G6">
    <cfRule type="expression" dxfId="0" priority="4">
      <formula>AND(G$7&lt;=EOMONTH($G$7,1),G$7&gt;EOMONTH($G$7,0))</formula>
    </cfRule>
  </conditionalFormatting>
  <conditionalFormatting sqref="G6">
    <cfRule type="expression" dxfId="1" priority="5">
      <formula>G$7&lt;=EOMONTH($G$7,0)</formula>
    </cfRule>
  </conditionalFormatting>
  <conditionalFormatting sqref="AL6:DV6">
    <cfRule type="expression" dxfId="0" priority="6">
      <formula>AND(G$7&lt;=EOMONTH($G$7,1),G$7&gt;EOMONTH($G$7,0))</formula>
    </cfRule>
  </conditionalFormatting>
  <conditionalFormatting sqref="AL6:DV6">
    <cfRule type="expression" dxfId="1" priority="7">
      <formula>AND(H$7&lt;=EOMONTH($G$7,2),H$7&gt;EOMONTH($G$7,0),H$7&gt;EOMONTH($G$7,1))</formula>
    </cfRule>
  </conditionalFormatting>
  <conditionalFormatting sqref="G10:DV14">
    <cfRule type="expression" dxfId="2" priority="8">
      <formula>AND($C10="Riesgo bajo",G$7&gt;=$D10,G$7&lt;=$D10+$E10-1)</formula>
    </cfRule>
  </conditionalFormatting>
  <conditionalFormatting sqref="G10:DV14">
    <cfRule type="expression" dxfId="3" priority="9">
      <formula>AND($C10="Riesgo alto",G$7&gt;=$D10,G$7&lt;=$D10+$E10-1)</formula>
    </cfRule>
  </conditionalFormatting>
  <conditionalFormatting sqref="G10:DV14">
    <cfRule type="expression" dxfId="4" priority="10">
      <formula>AND($C10="Según lo previsto",G$7&gt;=$D10,G$7&lt;=$D10+$E10-1)</formula>
    </cfRule>
  </conditionalFormatting>
  <conditionalFormatting sqref="G10:DV14">
    <cfRule type="expression" dxfId="5" priority="11">
      <formula>AND($C10="Riesgo medio",G$7&gt;=$D10,G$7&lt;=$D10+$E10-1)</formula>
    </cfRule>
  </conditionalFormatting>
  <conditionalFormatting sqref="G10:DV14">
    <cfRule type="expression" dxfId="6" priority="12">
      <formula>AND(LEN($C10)=0,G$7&gt;=$D10,G$7&lt;=$D10+$E10-1)</formula>
    </cfRule>
  </conditionalFormatting>
  <dataValidations>
    <dataValidation type="decimal" operator="greaterThanOrEqual" allowBlank="1" showInputMessage="1" prompt="Incremento de desplazamiento - Al cambiar este número, se desplazará la vista del diagrama de Gantt." sqref="C7">
      <formula1>0.0</formula1>
    </dataValidation>
    <dataValidation type="list" allowBlank="1" showErrorMessage="1" sqref="C10 C12:C14">
      <formula1>"Objetivo,Hito,Según lo previsto,Riesgo bajo,Revisado,Riesgo alto,Con retraso"</formula1>
    </dataValidation>
    <dataValidation type="list" allowBlank="1" sqref="C11">
      <formula1>"Objetivo,Hito,Según lo previsto,Riesgo bajo,Riesgo medio,Riesgo alto"</formula1>
    </dataValidation>
  </dataValidations>
  <printOptions horizontalCentered="1"/>
  <pageMargins bottom="0.3" footer="0.0" header="0.0" left="0.25" right="0.25" top="0.3"/>
  <pageSetup fitToHeight="0" orientation="landscape"/>
  <drawing r:id="rId1"/>
</worksheet>
</file>